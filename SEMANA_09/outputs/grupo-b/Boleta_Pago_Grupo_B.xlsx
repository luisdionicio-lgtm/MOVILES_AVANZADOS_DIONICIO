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a4c20129a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ámetros" sheetId="1" r:id="Rfc9fe088278348a4"/>
    <x:sheet xmlns:r="http://schemas.openxmlformats.org/officeDocument/2006/relationships" name="Boleta" sheetId="2" r:id="Ra4bc083c170a4c08"/>
    <x:sheet xmlns:r="http://schemas.openxmlformats.org/officeDocument/2006/relationships" name="Casos" sheetId="3" r:id="Recb80e6af3894bf3"/>
    <x:sheet xmlns:r="http://schemas.openxmlformats.org/officeDocument/2006/relationships" name="Explicación" sheetId="4" r:id="R99b80a830a7e47df"/>
    <x:sheet xmlns:r="http://schemas.openxmlformats.org/officeDocument/2006/relationships" name="Gráficos" sheetId="5" r:id="Ra371ec20932d476f"/>
  </x:sheets>
</x:workbook>
</file>

<file path=xl/comments1.xml><?xml version="1.0" encoding="utf-8"?>
<x:comments xmlns:x="http://schemas.openxmlformats.org/spreadsheetml/2006/main">
  <x:authors>
    <x:author/>
  </x:authors>
  <x:commentList>
    <x:comment ref="C25" authorId="0">
      <x:text>
        <x:r>
          <x:t>Fuente oficial: https://busquedas.elperuano.pe/dispositivo/EX/2559163-1</x:t>
        </x:r>
      </x:text>
    </x:comment>
    <x:comment ref="C26" authorId="0">
      <x:text>
        <x:r>
          <x:t>Fuente oficial: https://www.gob.pe/institucion/mtpe/noticias/601761-quienes-tienen-derecho-a-percibir-la-asignacion-familiar/</x:t>
        </x:r>
      </x:text>
    </x:comment>
    <x:comment ref="C27" authorId="0">
      <x:text>
        <x:r>
          <x:t>Fuente oficial: https://www.gob.pe/institucion/onp/noticias/1190488-como-saber-si-tu-empleador-esta-pagando-tus-aportes-al-snp</x:t>
        </x:r>
      </x:text>
    </x:comment>
    <x:comment ref="C28" authorId="0">
      <x:text>
        <x:r>
          <x:t>Fuente oficial: https://www.gob.pe/es/218-seguro-regular-essalud-seguro-aportes</x:t>
        </x:r>
      </x:text>
    </x:comment>
    <x:comment ref="C29" authorId="0">
      <x:text>
        <x:r>
          <x:t>Fuente oficial: https://orientacion.sunat.gob.pe/05-base-imponible-y-conceptos-afectos-aporte-essalud</x:t>
        </x:r>
      </x:text>
    </x:comment>
    <x:comment ref="C30" authorId="0">
      <x:text>
        <x:r>
          <x:t>Fuente oficial: https://www.gob.pe/institucion/sunafil/noticias/1100081-conoce-las-diferencias-entre-trabajo-forzoso-y-trabajo-en-sobretiempo</x:t>
        </x:r>
      </x:text>
    </x:comment>
    <x:comment ref="C31" authorId="0">
      <x:text>
        <x:r>
          <x:t>Fuente oficial: https://www.sbs.gob.pe/app/spp/empleadores/comisiones_spp/Paginas/comision_prima.aspx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7" authorId="0">
      <x:text>
        <x:r>
          <x:t>La oferta laboral publica un rango de S/ 4,000 a S/ 5,300. Para la boleta se utiliza el límite inferior: S/ 4,000.</x:t>
        </x:r>
      </x:text>
    </x:comment>
    <x:comment ref="B19" authorId="0">
      <x:text>
        <x:r>
          <x:t>Fuente consultada el 25/10/2026: https://pe.indeed.com/viewjob?jk=8be345571aa1eab1</x:t>
        </x:r>
      </x:text>
    </x:comment>
    <x:comment ref="B18" authorId="0">
      <x:text>
        <x:r>
          <x:t>Profesional peruano identificado por el Diario Oficial El Peruano como ingeniero de desarrollo de software. Fuente: https://elperuano.pe/noticia/162123-conoce-a-edgar-rodolfo-quispe-el-cusqueno-que-cautivo-a-microsoft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D33" authorId="0">
      <x:text>
        <x:r>
          <x:t>La oferta publica un rango de S/ 1,600 a S/ 2,000. Para la simulación se tomó el límite inferior: S/ 1,600.</x:t>
        </x:r>
      </x:text>
    </x:comment>
    <x:comment ref="D34" authorId="0">
      <x:text>
        <x:r>
          <x:t>La oferta publica un rango de S/ 4,000 a S/ 5,300. Para la simulación se tomó el límite inferior: S/ 4,000.</x:t>
        </x:r>
      </x:text>
    </x:comment>
    <x:comment ref="D33" authorId="0">
      <x:text>
        <x:r>
          <x:t>La oferta publica un rango de S/ 1,600 a S/ 2,000. Para la simulación se tomó el límite inferior: S/ 1,600.</x:t>
        </x:r>
      </x:text>
    </x:comment>
    <x:comment ref="D34" authorId="0">
      <x:text>
        <x:r>
          <x:t>La oferta publica un rango de S/ 4,000 a S/ 5,300. Para la simulación se tomó el límite inferior: S/ 4,000.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S/ &quot;#,##0.00;[Red](&quot;S/ &quot;#,##0.00);-"/>
    <x:numFmt numFmtId="201" formatCode="0.00%"/>
    <x:numFmt numFmtId="202" formatCode="0"/>
    <x:numFmt numFmtId="203" formatCode="0.00"/>
    <x:numFmt numFmtId="204" formatCode="&quot;S/ &quot;#,##0.00"/>
  </x:numFmts>
  <x:fonts count="20">
    <x:font>
      <x:sz val="11"/>
      <x:name val="Carlito"/>
    </x:font>
    <x:font>
      <x:sz val="10"/>
      <x:color rgb="FF263238"/>
      <x:name val="Arial"/>
    </x:font>
    <x:font>
      <x:b/>
      <x:sz val="18"/>
      <x:color rgb="FFFFFFFF"/>
      <x:name val="Arial"/>
    </x:font>
    <x:font>
      <x:i/>
      <x:sz val="10"/>
      <x:color rgb="FF595959"/>
      <x:name val="Arial"/>
    </x:font>
    <x:font>
      <x:b/>
      <x:sz val="11"/>
      <x:color rgb="FF7A3E00"/>
      <x:name val="Arial"/>
    </x:font>
    <x:font>
      <x:b/>
      <x:sz val="10"/>
      <x:color rgb="FFFFFFFF"/>
      <x:name val="Arial"/>
    </x:font>
    <x:font>
      <x:i/>
      <x:sz val="9"/>
      <x:color rgb="FFEF6C00"/>
      <x:name val="Arial"/>
    </x:font>
    <x:font>
      <x:b/>
      <x:sz val="10"/>
      <x:color rgb="FF000000"/>
      <x:name val="Arial"/>
    </x:font>
    <x:font>
      <x:b/>
      <x:sz val="15"/>
      <x:color rgb="FFFFFFFF"/>
      <x:name val="Arial"/>
    </x:font>
    <x:font>
      <x:b/>
      <x:sz val="18"/>
      <x:color rgb="FF1B5E20"/>
      <x:name val="Arial"/>
    </x:font>
    <x:font>
      <x:i/>
      <x:sz val="9"/>
      <x:color rgb="FF6D4C41"/>
      <x:name val="Arial"/>
    </x:font>
    <x:font>
      <x:b/>
      <x:sz val="10"/>
      <x:color rgb="FF2E7D32"/>
      <x:name val="Arial"/>
    </x:font>
    <x:font>
      <x:b/>
      <x:sz val="11"/>
      <x:color rgb="FFFFFFFF"/>
      <x:name val="Arial"/>
    </x:font>
    <x:font>
      <x:b/>
      <x:sz val="13"/>
      <x:color rgb="FFFFFFFF"/>
      <x:name val="Arial"/>
    </x:font>
    <x:font>
      <x:b/>
      <x:sz val="20"/>
      <x:color rgb="FF146B2E"/>
      <x:name val="Arial"/>
    </x:font>
    <x:font>
      <x:b/>
      <x:sz val="19"/>
      <x:color rgb="FF146B2E"/>
      <x:name val="Arial"/>
    </x:font>
    <x:font>
      <x:u val="single"/>
      <x:sz val="9"/>
      <x:color rgb="FF0563C1"/>
      <x:name val="Arial"/>
    </x:font>
    <x:font>
      <x:b/>
      <x:sz val="10"/>
      <x:color rgb="FF263238"/>
      <x:name val="Arial"/>
    </x:font>
    <x:font>
      <x:b/>
      <x:sz val="11"/>
      <x:color rgb="FF176B32"/>
      <x:name val="Arial"/>
    </x:font>
    <x:font>
      <x:i/>
      <x:sz val="10"/>
      <x:color rgb="FF7F4100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rgb="FF1B5E20"/>
      </x:patternFill>
    </x:fill>
    <x:fill>
      <x:patternFill patternType="solid">
        <x:fgColor rgb="FFFFE0B2"/>
      </x:patternFill>
    </x:fill>
    <x:fill>
      <x:patternFill patternType="solid">
        <x:fgColor rgb="FFFFF3E0"/>
      </x:patternFill>
    </x:fill>
    <x:fill>
      <x:patternFill patternType="solid">
        <x:fgColor rgb="FFDDEEDD"/>
      </x:patternFill>
    </x:fill>
    <x:fill>
      <x:patternFill patternType="solid">
        <x:fgColor rgb="FFFAFAFA"/>
      </x:patternFill>
    </x:fill>
    <x:fill>
      <x:patternFill patternType="solid">
        <x:fgColor rgb="FFF26B00"/>
      </x:patternFill>
    </x:fill>
    <x:fill>
      <x:patternFill patternType="solid">
        <x:fgColor rgb="FF146B2E"/>
      </x:patternFill>
    </x:fill>
    <x:fill>
      <x:patternFill patternType="solid">
        <x:fgColor rgb="FFFFFFFF"/>
      </x:patternFill>
    </x:fill>
    <x:fill>
      <x:patternFill patternType="solid">
        <x:fgColor rgb="FFF26B00"/>
      </x:patternFill>
    </x:fill>
    <x:fill>
      <x:patternFill patternType="solid">
        <x:fgColor rgb="FF146B2E"/>
      </x:patternFill>
    </x:fill>
    <x:fill>
      <x:patternFill patternType="solid">
        <x:fgColor rgb="FFFFFFFF"/>
      </x:patternFill>
    </x:fill>
    <x:fill>
      <x:patternFill patternType="solid">
        <x:fgColor rgb="FFF26B00"/>
      </x:patternFill>
    </x:fill>
    <x:fill>
      <x:patternFill patternType="solid">
        <x:fgColor rgb="FF146B2E"/>
      </x:patternFill>
    </x:fill>
    <x:fill>
      <x:patternFill patternType="solid">
        <x:fgColor rgb="FFFFFFFF"/>
      </x:patternFill>
    </x:fill>
    <x:fill>
      <x:patternFill patternType="solid">
        <x:fgColor rgb="FF146B2E"/>
      </x:patternFill>
    </x:fill>
    <x:fill>
      <x:patternFill patternType="solid">
        <x:fgColor rgb="FFF26B00"/>
      </x:patternFill>
    </x:fill>
    <x:fill>
      <x:patternFill patternType="solid">
        <x:fgColor rgb="FFFFF3E0"/>
      </x:patternFill>
    </x:fill>
    <x:fill>
      <x:patternFill patternType="solid">
        <x:fgColor rgb="FFDDEEDD"/>
      </x:patternFill>
    </x:fill>
    <x:fill>
      <x:patternFill patternType="solid">
        <x:fgColor rgb="FFDDEEDD"/>
      </x:patternFill>
    </x:fill>
    <x:fill>
      <x:patternFill patternType="solid">
        <x:fgColor rgb="FFDDEEDD"/>
      </x:patternFill>
    </x:fill>
    <x:fill>
      <x:patternFill patternType="solid">
        <x:fgColor rgb="FFF26B00"/>
      </x:patternFill>
    </x:fill>
    <x:fill>
      <x:patternFill patternType="solid">
        <x:fgColor rgb="FFFFF3E0"/>
      </x:patternFill>
    </x:fill>
    <x:fill>
      <x:patternFill patternType="solid">
        <x:fgColor rgb="FFF26B00"/>
      </x:patternFill>
    </x:fill>
    <x:fill>
      <x:patternFill patternType="solid">
        <x:fgColor rgb="FF176B32"/>
      </x:patternFill>
    </x:fill>
    <x:fill>
      <x:patternFill patternType="solid">
        <x:fgColor rgb="FFFFF4E5"/>
      </x:patternFill>
    </x:fill>
    <x:fill>
      <x:patternFill patternType="solid">
        <x:fgColor rgb="FFF26B00"/>
      </x:patternFill>
    </x:fill>
    <x:fill>
      <x:patternFill patternType="solid">
        <x:fgColor rgb="FF176B32"/>
      </x:patternFill>
    </x:fill>
    <x:fill>
      <x:patternFill patternType="solid">
        <x:fgColor rgb="FFFFF4E5"/>
      </x:patternFill>
    </x:fill>
    <x:fill>
      <x:patternFill patternType="solid">
        <x:fgColor rgb="FF176B32"/>
      </x:patternFill>
    </x:fill>
    <x:fill>
      <x:patternFill patternType="solid">
        <x:fgColor rgb="FFFFF4E5"/>
      </x:patternFill>
    </x:fill>
    <x:fill>
      <x:patternFill patternType="solid">
        <x:fgColor rgb="FFDCEEDB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9">
    <x:border>
      <x:left/>
      <x:right/>
      <x:top/>
      <x:bottom/>
      <x:diagonal/>
    </x:border>
    <x:border>
      <x:left/>
      <x:right/>
      <x:top/>
      <x:bottom style="medium">
        <x:color rgb="FFEF6C00"/>
      </x:bottom>
      <x:diagonal/>
    </x:border>
    <x:border>
      <x:left style="thin">
        <x:color rgb="FFEF6C00"/>
      </x:left>
      <x:right/>
      <x:top style="thin">
        <x:color rgb="FFEF6C00"/>
      </x:top>
      <x:bottom style="thin">
        <x:color rgb="FFEF6C00"/>
      </x:bottom>
      <x:diagonal/>
    </x:border>
    <x:border>
      <x:left/>
      <x:right/>
      <x:top style="thin">
        <x:color rgb="FFEF6C00"/>
      </x:top>
      <x:bottom style="thin">
        <x:color rgb="FFEF6C00"/>
      </x:bottom>
      <x:diagonal/>
    </x:border>
    <x:border>
      <x:left/>
      <x:right style="thin">
        <x:color rgb="FFEF6C00"/>
      </x:right>
      <x:top style="thin">
        <x:color rgb="FFEF6C00"/>
      </x:top>
      <x:bottom style="thin">
        <x:color rgb="FFEF6C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7CCB8"/>
      </x:left>
      <x:right style="thin">
        <x:color rgb="FFB7CCB8"/>
      </x:right>
      <x:top style="thin">
        <x:color rgb="FFB7CCB8"/>
      </x:top>
      <x:bottom style="thin">
        <x:color rgb="FFB7CCB8"/>
      </x:bottom>
      <x:diagonal/>
    </x:border>
    <x:border>
      <x:left style="medium">
        <x:color rgb="FF2E7D32"/>
      </x:left>
      <x:right style="medium">
        <x:color rgb="FF2E7D32"/>
      </x:right>
      <x:top style="medium">
        <x:color rgb="FF2E7D32"/>
      </x:top>
      <x:bottom style="medium">
        <x:color rgb="FF2E7D32"/>
      </x:bottom>
      <x:diagonal/>
    </x:border>
    <x:border>
      <x:left style="medium">
        <x:color rgb="FFB94700"/>
      </x:left>
      <x:right/>
      <x:top style="medium">
        <x:color rgb="FFB94700"/>
      </x:top>
      <x:bottom style="medium">
        <x:color rgb="FFB94700"/>
      </x:bottom>
      <x:diagonal/>
    </x:border>
    <x:border>
      <x:left/>
      <x:right/>
      <x:top style="medium">
        <x:color rgb="FFB94700"/>
      </x:top>
      <x:bottom style="medium">
        <x:color rgb="FFB94700"/>
      </x:bottom>
      <x:diagonal/>
    </x:border>
    <x:border>
      <x:left/>
      <x:right style="thin">
        <x:color rgb="FFEF6C00"/>
      </x:right>
      <x:top style="medium">
        <x:color rgb="FFB94700"/>
      </x:top>
      <x:bottom style="medium">
        <x:color rgb="FFB94700"/>
      </x:bottom>
      <x:diagonal/>
    </x:border>
    <x:border>
      <x:left/>
      <x:right style="medium">
        <x:color rgb="FFB94700"/>
      </x:right>
      <x:top style="medium">
        <x:color rgb="FFB94700"/>
      </x:top>
      <x:bottom style="medium">
        <x:color rgb="FFB94700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 diagonalUp="0" diagonalDown="0">
      <x:left style="none"/>
      <x:right style="medium">
        <x:color rgb="FFB94700"/>
      </x:right>
      <x:top style="medium">
        <x:color rgb="FFB94700"/>
      </x:top>
      <x:bottom style="medium">
        <x:color rgb="FFB94700"/>
      </x:bottom>
      <x:diagonal/>
    </x:border>
    <x:border>
      <x:left/>
      <x:right/>
      <x:top/>
      <x:bottom style="medium">
        <x:color rgb="FFF26B00"/>
      </x:bottom>
      <x:diagonal/>
    </x:border>
    <x:border>
      <x:left style="thin">
        <x:color rgb="FFF4B183"/>
      </x:left>
      <x:right/>
      <x:top style="thin">
        <x:color rgb="FFF4B183"/>
      </x:top>
      <x:bottom style="thin">
        <x:color rgb="FFF4B183"/>
      </x:bottom>
      <x:diagonal/>
    </x:border>
    <x:border>
      <x:left/>
      <x:right/>
      <x:top style="thin">
        <x:color rgb="FFF4B183"/>
      </x:top>
      <x:bottom style="thin">
        <x:color rgb="FFF4B183"/>
      </x:bottom>
      <x:diagonal/>
    </x:border>
    <x:border>
      <x:left/>
      <x:right style="thin">
        <x:color rgb="FFF4B183"/>
      </x:right>
      <x:top style="thin">
        <x:color rgb="FFF4B183"/>
      </x:top>
      <x:bottom style="thin">
        <x:color rgb="FFF4B183"/>
      </x:bottom>
      <x:diagonal/>
    </x:border>
  </x:borders>
  <x:cellStyleXfs count="1">
    <x:xf numFmtId="0" fontId="0" fillId="0" borderId="0"/>
  </x:cellStyleXfs>
  <x:cellXfs count="2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200" fontId="1" fillId="4" borderId="6" xfId="0" applyNumberFormat="1" applyFont="1" applyFill="1" applyBorder="1" applyAlignment="1">
      <x:alignment vertical="center" wrapText="1"/>
    </x:xf>
    <x:xf numFmtId="201" fontId="1" fillId="4" borderId="6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202" fontId="1" fillId="4" borderId="6" xfId="0" applyNumberFormat="1" applyFont="1" applyFill="1" applyBorder="1" applyAlignment="1">
      <x:alignment vertical="center" wrapText="1"/>
    </x:xf>
    <x:xf numFmtId="203" fontId="1" fillId="4" borderId="6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200" fontId="9" fillId="5" borderId="0" xfId="0" applyNumberFormat="1" applyFont="1" applyFill="1" applyBorder="1" applyAlignment="1">
      <x:alignment horizontal="center" vertical="center"/>
    </x:xf>
    <x:xf numFmtId="0" fontId="8" fillId="2" borderId="7" xfId="0" applyNumberFormat="1" applyFont="1" applyFill="1" applyBorder="1" applyAlignment="1">
      <x:alignment horizontal="right" vertical="center"/>
    </x:xf>
    <x:xf numFmtId="200" fontId="9" fillId="5" borderId="7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7" fillId="5" borderId="6" xfId="0" applyNumberFormat="1" applyFont="1" applyFill="1" applyBorder="1" applyAlignment="1">
      <x:alignment vertical="center" wrapText="1"/>
    </x:xf>
    <x:xf numFmtId="200" fontId="1" fillId="5" borderId="6" xfId="0" applyNumberFormat="1" applyFont="1" applyFill="1" applyBorder="1" applyAlignment="1">
      <x:alignment vertical="center" wrapText="1"/>
    </x:xf>
    <x:xf numFmtId="200" fontId="11" fillId="5" borderId="6" xfId="0" applyNumberFormat="1" applyFont="1" applyFill="1" applyBorder="1" applyAlignment="1">
      <x:alignment vertical="center" wrapText="1"/>
    </x:xf>
    <x:xf numFmtId="200" fontId="11" fillId="0" borderId="6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2" fillId="7" borderId="2" xfId="0" applyNumberFormat="1" applyFont="1" applyFill="1" applyBorder="1" applyAlignment="1">
      <x:alignment vertical="center"/>
    </x:xf>
    <x:xf numFmtId="0" fontId="12" fillId="7" borderId="3" xfId="0" applyNumberFormat="1" applyFont="1" applyFill="1" applyBorder="1" applyAlignment="1">
      <x:alignment vertical="center"/>
    </x:xf>
    <x:xf numFmtId="0" fontId="12" fillId="7" borderId="4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2" fillId="7" borderId="2" xfId="0" applyNumberFormat="1" applyFont="1" applyFill="1" applyBorder="1" applyAlignment="1">
      <x:alignment horizontal="left" vertical="center"/>
    </x:xf>
    <x:xf numFmtId="0" fontId="12" fillId="7" borderId="3" xfId="0" applyNumberFormat="1" applyFont="1" applyFill="1" applyBorder="1" applyAlignment="1">
      <x:alignment horizontal="left" vertical="center"/>
    </x:xf>
    <x:xf numFmtId="0" fontId="12" fillId="7" borderId="4" xfId="0" applyNumberFormat="1" applyFont="1" applyFill="1" applyBorder="1" applyAlignment="1">
      <x:alignment horizontal="left" vertical="center"/>
    </x:xf>
    <x:xf numFmtId="0" fontId="12" fillId="7" borderId="0" xfId="0" applyNumberFormat="1" applyFont="1" applyFill="1" applyBorder="1" applyAlignment="1">
      <x:alignment horizontal="left" vertical="center"/>
    </x:xf>
    <x:xf numFmtId="0" fontId="12" fillId="7" borderId="8" xfId="0" applyNumberFormat="1" applyFont="1" applyFill="1" applyBorder="1" applyAlignment="1">
      <x:alignment horizontal="left" vertical="center"/>
    </x:xf>
    <x:xf numFmtId="0" fontId="12" fillId="7" borderId="9" xfId="0" applyNumberFormat="1" applyFont="1" applyFill="1" applyBorder="1" applyAlignment="1">
      <x:alignment horizontal="left" vertical="center"/>
    </x:xf>
    <x:xf numFmtId="0" fontId="12" fillId="7" borderId="10" xfId="0" applyNumberFormat="1" applyFont="1" applyFill="1" applyBorder="1" applyAlignment="1">
      <x:alignment horizontal="left" vertical="center"/>
    </x:xf>
    <x:xf numFmtId="0" fontId="12" fillId="7" borderId="11" xfId="0" applyNumberFormat="1" applyFont="1" applyFill="1" applyBorder="1" applyAlignment="1">
      <x:alignment horizontal="left" vertical="center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left" vertical="center" wrapText="1"/>
    </x:xf>
    <x:xf numFmtId="200" fontId="1" fillId="4" borderId="6" xfId="0" applyNumberFormat="1" applyFont="1" applyFill="1" applyBorder="1" applyAlignment="1">
      <x:alignment horizontal="right" vertical="center" wrapText="1"/>
    </x:xf>
    <x:xf numFmtId="201" fontId="1" fillId="4" borderId="6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6" xfId="0" applyNumberFormat="1" applyFont="1" applyFill="1" applyBorder="1" applyAlignment="1">
      <x:alignment horizontal="right" vertical="center" wrapText="1"/>
    </x:xf>
    <x:xf numFmtId="200" fontId="1" fillId="0" borderId="6" xfId="0" applyNumberFormat="1" applyFont="1" applyFill="1" applyBorder="1" applyAlignment="1">
      <x:alignment horizontal="righ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12" xfId="0" applyNumberFormat="1" applyFont="1" applyFill="1" applyBorder="1" applyAlignment="1">
      <x:alignment vertical="center"/>
    </x:xf>
    <x:xf numFmtId="0" fontId="1" fillId="9" borderId="12" xfId="0" applyNumberFormat="1" applyFont="1" applyFill="1" applyBorder="1" applyAlignment="1">
      <x:alignment vertical="center"/>
    </x:xf>
    <x:xf numFmtId="0" fontId="4" fillId="9" borderId="3" xfId="0" applyNumberFormat="1" applyFont="1" applyFill="1" applyBorder="1" applyAlignment="1">
      <x:alignment vertical="center"/>
    </x:xf>
    <x:xf numFmtId="202" fontId="1" fillId="4" borderId="6" xfId="0" applyNumberFormat="1" applyFont="1" applyFill="1" applyBorder="1" applyAlignment="1">
      <x:alignment horizontal="right" vertical="center" wrapText="1"/>
    </x:xf>
    <x:xf numFmtId="0" fontId="1" fillId="4" borderId="6" xfId="0" applyNumberFormat="1" applyFont="1" applyFill="1" applyBorder="1" applyAlignment="1">
      <x:alignment horizontal="right" vertical="center" wrapText="1"/>
    </x:xf>
    <x:xf numFmtId="203" fontId="1" fillId="4" borderId="6" xfId="0" applyNumberFormat="1" applyFont="1" applyFill="1" applyBorder="1" applyAlignment="1">
      <x:alignment horizontal="right" vertical="center" wrapText="1"/>
    </x:xf>
    <x:xf numFmtId="0" fontId="1" fillId="4" borderId="6" xfId="0" applyNumberFormat="1" applyFont="1" applyFill="1" applyBorder="1" applyAlignment="1">
      <x:alignment horizontal="left" vertical="center" wrapText="1"/>
    </x:xf>
    <x:xf numFmtId="0" fontId="7" fillId="5" borderId="6" xfId="0" applyNumberFormat="1" applyFont="1" applyFill="1" applyBorder="1" applyAlignment="1">
      <x:alignment horizontal="left" vertical="center" wrapText="1"/>
    </x:xf>
    <x:xf numFmtId="200" fontId="7" fillId="5" borderId="6" xfId="0" applyNumberFormat="1" applyFont="1" applyFill="1" applyBorder="1" applyAlignment="1">
      <x:alignment horizontal="right" vertical="center" wrapText="1"/>
    </x:xf>
    <x:xf numFmtId="0" fontId="1" fillId="6" borderId="6" xfId="0" applyNumberFormat="1" applyFont="1" applyFill="1" applyBorder="1" applyAlignment="1">
      <x:alignment horizontal="left" vertical="center"/>
    </x:xf>
    <x:xf numFmtId="0" fontId="1" fillId="6" borderId="6" xfId="0" applyNumberFormat="1" applyFont="1" applyFill="1" applyBorder="1" applyAlignment="1">
      <x:alignment horizontal="right" vertical="center"/>
    </x:xf>
    <x:xf numFmtId="200" fontId="11" fillId="5" borderId="6" xfId="0" applyNumberFormat="1" applyFont="1" applyFill="1" applyBorder="1" applyAlignment="1">
      <x:alignment horizontal="right" vertical="center" wrapText="1"/>
    </x:xf>
    <x:xf numFmtId="200" fontId="11" fillId="0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2" fillId="10" borderId="8" xfId="0" applyNumberFormat="1" applyFont="1" applyFill="1" applyBorder="1" applyAlignment="1">
      <x:alignment horizontal="left" vertical="center"/>
    </x:xf>
    <x:xf numFmtId="0" fontId="12" fillId="10" borderId="9" xfId="0" applyNumberFormat="1" applyFont="1" applyFill="1" applyBorder="1" applyAlignment="1">
      <x:alignment horizontal="left" vertical="center"/>
    </x:xf>
    <x:xf numFmtId="0" fontId="12" fillId="10" borderId="10" xfId="0" applyNumberFormat="1" applyFont="1" applyFill="1" applyBorder="1" applyAlignment="1">
      <x:alignment horizontal="left" vertical="center"/>
    </x:xf>
    <x:xf numFmtId="0" fontId="12" fillId="10" borderId="11" xfId="0" applyNumberFormat="1" applyFont="1" applyFill="1" applyBorder="1" applyAlignment="1">
      <x:alignment horizontal="left" vertical="center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4" fillId="12" borderId="12" xfId="0" applyNumberFormat="1" applyFont="1" applyFill="1" applyBorder="1" applyAlignment="1">
      <x:alignment vertical="center"/>
    </x:xf>
    <x:xf numFmtId="0" fontId="1" fillId="12" borderId="12" xfId="0" applyNumberFormat="1" applyFont="1" applyFill="1" applyBorder="1" applyAlignment="1">
      <x:alignment vertical="center"/>
    </x:xf>
    <x:xf numFmtId="0" fontId="4" fillId="12" borderId="13" xfId="0" applyNumberFormat="1" applyFont="1" applyFill="1" applyBorder="1" applyAlignment="1">
      <x:alignment vertical="center"/>
    </x:xf>
    <x:xf numFmtId="0" fontId="1" fillId="12" borderId="13" xfId="0" applyNumberFormat="1" applyFont="1" applyFill="1" applyBorder="1" applyAlignment="1">
      <x:alignment vertical="center"/>
    </x:xf>
    <x:xf numFmtId="0" fontId="4" fillId="10" borderId="12" xfId="0" applyNumberFormat="1" applyFont="1" applyFill="1" applyBorder="1" applyAlignment="1">
      <x:alignment vertical="center"/>
    </x:xf>
    <x:xf numFmtId="0" fontId="12" fillId="10" borderId="12" xfId="0" applyNumberFormat="1" applyFont="1" applyFill="1" applyBorder="1" applyAlignment="1">
      <x:alignment vertical="center"/>
    </x:xf>
    <x:xf numFmtId="0" fontId="12" fillId="10" borderId="12" xfId="0" applyNumberFormat="1" applyFont="1" applyFill="1" applyBorder="1" applyAlignment="1">
      <x:alignment horizontal="left" vertical="center"/>
    </x:xf>
    <x:xf numFmtId="0" fontId="12" fillId="10" borderId="14" xfId="0" applyNumberFormat="1" applyFont="1" applyFill="1" applyBorder="1" applyAlignment="1">
      <x:alignment horizontal="left" vertical="center"/>
    </x:xf>
    <x:xf numFmtId="0" fontId="12" fillId="13" borderId="8" xfId="0" applyNumberFormat="1" applyFont="1" applyFill="1" applyBorder="1" applyAlignment="1">
      <x:alignment horizontal="left" vertical="center"/>
    </x:xf>
    <x:xf numFmtId="0" fontId="12" fillId="13" borderId="9" xfId="0" applyNumberFormat="1" applyFont="1" applyFill="1" applyBorder="1" applyAlignment="1">
      <x:alignment horizontal="left" vertical="center"/>
    </x:xf>
    <x:xf numFmtId="0" fontId="12" fillId="13" borderId="10" xfId="0" applyNumberFormat="1" applyFont="1" applyFill="1" applyBorder="1" applyAlignment="1">
      <x:alignment horizontal="left" vertical="center"/>
    </x:xf>
    <x:xf numFmtId="0" fontId="12" fillId="13" borderId="11" xfId="0" applyNumberFormat="1" applyFont="1" applyFill="1" applyBorder="1" applyAlignment="1">
      <x:alignment horizontal="left" vertical="center"/>
    </x:xf>
    <x:xf numFmtId="0" fontId="5" fillId="14" borderId="5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left" vertical="center"/>
    </x:xf>
    <x:xf numFmtId="0" fontId="4" fillId="15" borderId="13" xfId="0" applyNumberFormat="1" applyFont="1" applyFill="1" applyBorder="1" applyAlignment="1">
      <x:alignment vertical="center"/>
    </x:xf>
    <x:xf numFmtId="0" fontId="1" fillId="15" borderId="13" xfId="0" applyNumberFormat="1" applyFont="1" applyFill="1" applyBorder="1" applyAlignment="1">
      <x:alignment vertical="center"/>
    </x:xf>
    <x:xf numFmtId="0" fontId="12" fillId="13" borderId="14" xfId="0" applyNumberFormat="1" applyFont="1" applyFill="1" applyBorder="1" applyAlignment="1">
      <x:alignment horizontal="left" vertical="center"/>
    </x:xf>
    <x:xf numFmtId="0" fontId="1" fillId="16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vertical="center"/>
    </x:xf>
    <x:xf numFmtId="0" fontId="2" fillId="16" borderId="15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horizontal="left" vertical="center"/>
    </x:xf>
    <x:xf numFmtId="0" fontId="12" fillId="17" borderId="8" xfId="0" applyNumberFormat="1" applyFont="1" applyFill="1" applyBorder="1" applyAlignment="1">
      <x:alignment horizontal="left" vertical="center"/>
    </x:xf>
    <x:xf numFmtId="0" fontId="12" fillId="17" borderId="9" xfId="0" applyNumberFormat="1" applyFont="1" applyFill="1" applyBorder="1" applyAlignment="1">
      <x:alignment horizontal="left" vertical="center"/>
    </x:xf>
    <x:xf numFmtId="0" fontId="12" fillId="17" borderId="11" xfId="0" applyNumberFormat="1" applyFont="1" applyFill="1" applyBorder="1" applyAlignment="1">
      <x:alignment horizontal="left" vertical="center"/>
    </x:xf>
    <x:xf numFmtId="0" fontId="5" fillId="16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horizontal="center" vertical="center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6" borderId="5" xfId="0" applyNumberFormat="1" applyFont="1" applyFill="1" applyBorder="1" applyAlignment="1">
      <x:alignment horizontal="center" vertical="center" wrapText="1"/>
    </x:xf>
    <x:xf numFmtId="0" fontId="1" fillId="18" borderId="6" xfId="0" applyNumberFormat="1" applyFont="1" applyFill="1" applyBorder="1" applyAlignment="1">
      <x:alignment vertical="center" wrapText="1"/>
    </x:xf>
    <x:xf numFmtId="200" fontId="1" fillId="18" borderId="6" xfId="0" applyNumberFormat="1" applyFont="1" applyFill="1" applyBorder="1" applyAlignment="1">
      <x:alignment vertical="center" wrapText="1"/>
    </x:xf>
    <x:xf numFmtId="202" fontId="1" fillId="18" borderId="6" xfId="0" applyNumberFormat="1" applyFont="1" applyFill="1" applyBorder="1" applyAlignment="1">
      <x:alignment vertical="center" wrapText="1"/>
    </x:xf>
    <x:xf numFmtId="203" fontId="1" fillId="18" borderId="6" xfId="0" applyNumberFormat="1" applyFont="1" applyFill="1" applyBorder="1" applyAlignment="1">
      <x:alignment vertical="center" wrapText="1"/>
    </x:xf>
    <x:xf numFmtId="0" fontId="1" fillId="19" borderId="6" xfId="0" applyNumberFormat="1" applyFont="1" applyFill="1" applyBorder="1" applyAlignment="1">
      <x:alignment vertical="center" wrapText="1"/>
    </x:xf>
    <x:xf numFmtId="0" fontId="7" fillId="19" borderId="6" xfId="0" applyNumberFormat="1" applyFont="1" applyFill="1" applyBorder="1" applyAlignment="1">
      <x:alignment vertical="center" wrapText="1"/>
    </x:xf>
    <x:xf numFmtId="200" fontId="7" fillId="19" borderId="6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/>
    </x:xf>
    <x:xf numFmtId="0" fontId="13" fillId="16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vertical="center"/>
    </x:xf>
    <x:xf numFmtId="0" fontId="14" fillId="19" borderId="0" xfId="0" applyNumberFormat="1" applyFont="1" applyFill="1" applyBorder="1" applyAlignment="1">
      <x:alignment vertical="center"/>
    </x:xf>
    <x:xf numFmtId="0" fontId="14" fillId="19" borderId="0" xfId="0" applyNumberFormat="1" applyFont="1" applyFill="1" applyBorder="1" applyAlignment="1">
      <x:alignment horizontal="center" vertical="center"/>
    </x:xf>
    <x:xf numFmtId="200" fontId="14" fillId="19" borderId="0" xfId="0" applyNumberFormat="1" applyFont="1" applyFill="1" applyBorder="1" applyAlignment="1">
      <x:alignment horizontal="center" vertical="center"/>
    </x:xf>
    <x:xf numFmtId="0" fontId="13" fillId="16" borderId="7" xfId="0" applyNumberFormat="1" applyFont="1" applyFill="1" applyBorder="1" applyAlignment="1">
      <x:alignment horizontal="center" vertical="center"/>
    </x:xf>
    <x:xf numFmtId="200" fontId="14" fillId="19" borderId="7" xfId="0" applyNumberFormat="1" applyFont="1" applyFill="1" applyBorder="1" applyAlignment="1">
      <x:alignment horizontal="center" vertical="center"/>
    </x:xf>
    <x:xf numFmtId="0" fontId="1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horizontal="center" vertical="center"/>
    </x:xf>
    <x:xf numFmtId="0" fontId="15" fillId="19" borderId="0" xfId="0" applyNumberFormat="1" applyFont="1" applyFill="1" applyBorder="1" applyAlignment="1">
      <x:alignment vertical="center"/>
    </x:xf>
    <x:xf numFmtId="0" fontId="15" fillId="19" borderId="0" xfId="0" applyNumberFormat="1" applyFont="1" applyFill="1" applyBorder="1" applyAlignment="1">
      <x:alignment horizontal="center" vertical="center"/>
    </x:xf>
    <x:xf numFmtId="200" fontId="15" fillId="19" borderId="0" xfId="0" applyNumberFormat="1" applyFont="1" applyFill="1" applyBorder="1" applyAlignment="1">
      <x:alignment horizontal="center" vertical="center"/>
    </x:xf>
    <x:xf numFmtId="200" fontId="15" fillId="19" borderId="7" xfId="0" applyNumberFormat="1" applyFont="1" applyFill="1" applyBorder="1" applyAlignment="1">
      <x:alignment horizontal="center" vertical="center"/>
    </x:xf>
    <x:xf numFmtId="0" fontId="7" fillId="20" borderId="6" xfId="0" applyNumberFormat="1" applyFont="1" applyFill="1" applyBorder="1" applyAlignment="1">
      <x:alignment vertical="center" wrapText="1"/>
    </x:xf>
    <x:xf numFmtId="200" fontId="7" fillId="20" borderId="6" xfId="0" applyNumberFormat="1" applyFont="1" applyFill="1" applyBorder="1" applyAlignment="1">
      <x:alignment vertical="center" wrapText="1"/>
    </x:xf>
    <x:xf numFmtId="0" fontId="7" fillId="21" borderId="6" xfId="0" applyNumberFormat="1" applyFont="1" applyFill="1" applyBorder="1" applyAlignment="1">
      <x:alignment vertical="center" wrapText="1"/>
    </x:xf>
    <x:xf numFmtId="200" fontId="7" fillId="21" borderId="6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horizontal="left"/>
    </x:xf>
    <x:xf numFmtId="0" fontId="12" fillId="22" borderId="0" xfId="0" applyNumberFormat="1" applyFont="1" applyFill="1" applyBorder="1" applyAlignment="1">
      <x:alignment horizontal="left" vertical="center"/>
    </x:xf>
    <x:xf numFmtId="0" fontId="12" fillId="22" borderId="8" xfId="0" applyNumberFormat="1" applyFont="1" applyFill="1" applyBorder="1" applyAlignment="1">
      <x:alignment horizontal="left" vertical="center"/>
    </x:xf>
    <x:xf numFmtId="0" fontId="12" fillId="22" borderId="11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204" fontId="1" fillId="4" borderId="6" xfId="0" applyNumberFormat="1" applyFont="1" applyFill="1" applyBorder="1" applyAlignment="1">
      <x:alignment horizontal="right" vertical="center" wrapText="1"/>
    </x:xf>
    <x:xf numFmtId="0" fontId="16" fillId="4" borderId="6" xfId="0" applyNumberFormat="1" applyFont="1" applyFill="1" applyBorder="1" applyAlignment="1">
      <x:alignment horizontal="left" vertical="center" wrapText="1"/>
    </x:xf>
    <x:xf numFmtId="204" fontId="1" fillId="0" borderId="6" xfId="0" applyNumberFormat="1" applyFont="1" applyFill="1" applyBorder="1" applyAlignment="1">
      <x:alignment horizontal="right" vertical="center" wrapText="1"/>
    </x:xf>
    <x:xf numFmtId="0" fontId="12" fillId="24" borderId="8" xfId="0" applyNumberFormat="1" applyFont="1" applyFill="1" applyBorder="1" applyAlignment="1">
      <x:alignment horizontal="left" vertical="center"/>
    </x:xf>
    <x:xf numFmtId="0" fontId="12" fillId="24" borderId="9" xfId="0" applyNumberFormat="1" applyFont="1" applyFill="1" applyBorder="1" applyAlignment="1">
      <x:alignment horizontal="left" vertical="center"/>
    </x:xf>
    <x:xf numFmtId="0" fontId="12" fillId="24" borderId="11" xfId="0" applyNumberFormat="1" applyFont="1" applyFill="1" applyBorder="1" applyAlignment="1">
      <x:alignment horizontal="left" vertical="center"/>
    </x:xf>
    <x:xf numFmtId="0" fontId="13" fillId="24" borderId="8" xfId="0" applyNumberFormat="1" applyFont="1" applyFill="1" applyBorder="1" applyAlignment="1">
      <x:alignment horizontal="left" vertical="center"/>
    </x:xf>
    <x:xf numFmtId="0" fontId="13" fillId="24" borderId="9" xfId="0" applyNumberFormat="1" applyFont="1" applyFill="1" applyBorder="1" applyAlignment="1">
      <x:alignment horizontal="left" vertical="center"/>
    </x:xf>
    <x:xf numFmtId="0" fontId="13" fillId="24" borderId="11" xfId="0" applyNumberFormat="1" applyFont="1" applyFill="1" applyBorder="1" applyAlignment="1">
      <x:alignment horizontal="left" vertical="center"/>
    </x:xf>
    <x:xf numFmtId="0" fontId="5" fillId="25" borderId="5" xfId="0" applyNumberFormat="1" applyFont="1" applyFill="1" applyBorder="1" applyAlignment="1">
      <x:alignment horizontal="center" vertical="center" wrapText="1"/>
    </x:xf>
    <x:xf numFmtId="0" fontId="12" fillId="25" borderId="5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left" vertical="center" wrapText="1"/>
    </x:xf>
    <x:xf numFmtId="204" fontId="1" fillId="26" borderId="6" xfId="0" applyNumberFormat="1" applyFont="1" applyFill="1" applyBorder="1" applyAlignment="1">
      <x:alignment horizontal="right" vertical="center" wrapText="1"/>
    </x:xf>
    <x:xf numFmtId="0" fontId="1" fillId="26" borderId="6" xfId="0" applyNumberFormat="1" applyFont="1" applyFill="1" applyBorder="1" applyAlignment="1">
      <x:alignment horizontal="right" vertical="center" wrapText="1"/>
    </x:xf>
    <x:xf numFmtId="204" fontId="18" fillId="26" borderId="6" xfId="0" applyNumberFormat="1" applyFont="1" applyFill="1" applyBorder="1" applyAlignment="1">
      <x:alignment horizontal="right" vertical="center" wrapText="1"/>
    </x:xf>
    <x:xf numFmtId="0" fontId="18" fillId="26" borderId="6" xfId="0" applyNumberFormat="1" applyFont="1" applyFill="1" applyBorder="1" applyAlignment="1">
      <x:alignment horizontal="right" vertical="center" wrapText="1"/>
    </x:xf>
    <x:xf numFmtId="0" fontId="13" fillId="27" borderId="8" xfId="0" applyNumberFormat="1" applyFont="1" applyFill="1" applyBorder="1" applyAlignment="1">
      <x:alignment horizontal="left" vertical="center"/>
    </x:xf>
    <x:xf numFmtId="0" fontId="13" fillId="27" borderId="9" xfId="0" applyNumberFormat="1" applyFont="1" applyFill="1" applyBorder="1" applyAlignment="1">
      <x:alignment horizontal="left" vertical="center"/>
    </x:xf>
    <x:xf numFmtId="0" fontId="13" fillId="27" borderId="11" xfId="0" applyNumberFormat="1" applyFont="1" applyFill="1" applyBorder="1" applyAlignment="1">
      <x:alignment horizontal="left" vertical="center"/>
    </x:xf>
    <x:xf numFmtId="0" fontId="12" fillId="28" borderId="5" xfId="0" applyNumberFormat="1" applyFont="1" applyFill="1" applyBorder="1" applyAlignment="1">
      <x:alignment horizontal="center" vertical="center" wrapText="1"/>
    </x:xf>
    <x:xf numFmtId="204" fontId="17" fillId="26" borderId="6" xfId="0" applyNumberFormat="1" applyFont="1" applyFill="1" applyBorder="1" applyAlignment="1">
      <x:alignment horizontal="right" vertical="center" wrapText="1"/>
    </x:xf>
    <x:xf numFmtId="0" fontId="17" fillId="26" borderId="6" xfId="0" applyNumberFormat="1" applyFont="1" applyFill="1" applyBorder="1" applyAlignment="1">
      <x:alignment horizontal="right" vertical="center" wrapText="1"/>
    </x:xf>
    <x:xf numFmtId="204" fontId="17" fillId="29" borderId="6" xfId="0" applyNumberFormat="1" applyFont="1" applyFill="1" applyBorder="1" applyAlignment="1">
      <x:alignment horizontal="right" vertical="center" wrapText="1"/>
    </x:xf>
    <x:xf numFmtId="0" fontId="17" fillId="29" borderId="6" xfId="0" applyNumberFormat="1" applyFont="1" applyFill="1" applyBorder="1" applyAlignment="1">
      <x:alignment horizontal="right" vertical="center" wrapText="1"/>
    </x:xf>
    <x:xf numFmtId="204" fontId="18" fillId="29" borderId="6" xfId="0" applyNumberFormat="1" applyFont="1" applyFill="1" applyBorder="1" applyAlignment="1">
      <x:alignment horizontal="right" vertical="center" wrapText="1"/>
    </x:xf>
    <x:xf numFmtId="0" fontId="18" fillId="29" borderId="6" xfId="0" applyNumberFormat="1" applyFont="1" applyFill="1" applyBorder="1" applyAlignment="1">
      <x:alignment horizontal="right" vertical="center" wrapText="1"/>
    </x:xf>
    <x:xf numFmtId="200" fontId="1" fillId="0" borderId="6" xfId="0" applyNumberFormat="1" applyFont="1" applyFill="1" applyBorder="1" applyAlignment="1">
      <x:alignment horizontal="left" vertical="center" wrapText="1"/>
    </x:xf>
    <x:xf numFmtId="201" fontId="1" fillId="0" borderId="6" xfId="0" applyNumberFormat="1" applyFont="1" applyFill="1" applyBorder="1" applyAlignment="1">
      <x:alignment horizontal="left" vertical="center" wrapText="1"/>
    </x:xf>
    <x:xf numFmtId="204" fontId="18" fillId="29" borderId="6" xfId="0" applyNumberFormat="1" applyFont="1" applyFill="1" applyBorder="1" applyAlignment="1">
      <x:alignment horizontal="center" vertical="center" wrapText="1"/>
    </x:xf>
    <x:xf numFmtId="0" fontId="18" fillId="29" borderId="6" xfId="0" applyNumberFormat="1" applyFont="1" applyFill="1" applyBorder="1" applyAlignment="1">
      <x:alignment horizontal="center" vertical="center" wrapText="1"/>
    </x:xf>
    <x:xf numFmtId="0" fontId="5" fillId="30" borderId="5" xfId="0" applyNumberFormat="1" applyFont="1" applyFill="1" applyBorder="1" applyAlignment="1">
      <x:alignment horizontal="center" vertical="center" wrapText="1"/>
    </x:xf>
    <x:xf numFmtId="0" fontId="12" fillId="30" borderId="5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0" fontId="1" fillId="31" borderId="6" xfId="0" applyNumberFormat="1" applyFont="1" applyFill="1" applyBorder="1" applyAlignment="1">
      <x:alignment vertical="center" wrapText="1"/>
    </x:xf>
    <x:xf numFmtId="0" fontId="1" fillId="31" borderId="6" xfId="0" applyNumberFormat="1" applyFont="1" applyFill="1" applyBorder="1" applyAlignment="1">
      <x:alignment horizontal="left" vertical="center" wrapText="1"/>
    </x:xf>
    <x:xf numFmtId="204" fontId="1" fillId="4" borderId="6" xfId="0" applyNumberFormat="1" applyFont="1" applyFill="1" applyBorder="1" applyAlignment="1">
      <x:alignment vertical="center" wrapText="1"/>
    </x:xf>
    <x:xf numFmtId="204" fontId="1" fillId="0" borderId="6" xfId="0" applyNumberFormat="1" applyFont="1" applyFill="1" applyBorder="1" applyAlignment="1">
      <x:alignment vertical="center" wrapText="1"/>
    </x:xf>
    <x:xf numFmtId="204" fontId="7" fillId="5" borderId="6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2" fillId="7" borderId="11" xfId="0" applyNumberFormat="1" applyFont="1" applyFill="1" applyBorder="1" applyAlignment="1">
      <x:alignment horizontal="left" vertical="center"/>
    </x:xf>
    <x:xf numFmtId="204" fontId="5" fillId="8" borderId="5" xfId="0" applyNumberFormat="1" applyFont="1" applyFill="1" applyBorder="1" applyAlignment="1">
      <x:alignment horizontal="center" vertical="center" wrapText="1"/>
    </x:xf>
    <x:xf numFmtId="0" fontId="1" fillId="32" borderId="0" xfId="0" applyNumberFormat="1" applyFont="1" applyFill="1" applyBorder="1" applyAlignment="1">
      <x:alignment vertical="center"/>
    </x:xf>
    <x:xf numFmtId="204" fontId="1" fillId="32" borderId="0" xfId="0" applyNumberFormat="1" applyFont="1" applyFill="1" applyBorder="1" applyAlignment="1">
      <x:alignment vertical="center"/>
    </x:xf>
    <x:xf numFmtId="0" fontId="17" fillId="32" borderId="0" xfId="0" applyNumberFormat="1" applyFont="1" applyFill="1" applyBorder="1" applyAlignment="1">
      <x:alignment vertical="center"/>
    </x:xf>
    <x:xf numFmtId="204" fontId="17" fillId="32" borderId="0" xfId="0" applyNumberFormat="1" applyFont="1" applyFill="1" applyBorder="1" applyAlignment="1">
      <x:alignment vertical="center"/>
    </x:xf>
    <x:xf numFmtId="0" fontId="1" fillId="26" borderId="6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vertical="center"/>
    </x:xf>
    <x:xf numFmtId="0" fontId="19" fillId="33" borderId="16" xfId="0" applyNumberFormat="1" applyFont="1" applyFill="1" applyBorder="1" applyAlignment="1">
      <x:alignment vertical="center"/>
    </x:xf>
    <x:xf numFmtId="0" fontId="19" fillId="33" borderId="17" xfId="0" applyNumberFormat="1" applyFont="1" applyFill="1" applyBorder="1" applyAlignment="1">
      <x:alignment vertical="center"/>
    </x:xf>
    <x:xf numFmtId="0" fontId="19" fillId="33" borderId="18" xfId="0" applyNumberFormat="1" applyFont="1" applyFill="1" applyBorder="1" applyAlignment="1">
      <x:alignment vertical="center"/>
    </x:xf>
    <x:xf numFmtId="0" fontId="19" fillId="33" borderId="16" xfId="0" applyNumberFormat="1" applyFont="1" applyFill="1" applyBorder="1" applyAlignment="1">
      <x:alignment vertical="center" wrapText="1"/>
    </x:xf>
    <x:xf numFmtId="0" fontId="19" fillId="33" borderId="17" xfId="0" applyNumberFormat="1" applyFont="1" applyFill="1" applyBorder="1" applyAlignment="1">
      <x:alignment vertical="center" wrapText="1"/>
    </x:xf>
    <x:xf numFmtId="0" fontId="19" fillId="33" borderId="18" xfId="0" applyNumberFormat="1" applyFont="1" applyFill="1" applyBorder="1" applyAlignment="1">
      <x:alignment vertical="center" wrapText="1"/>
    </x:xf>
    <x:xf numFmtId="0" fontId="19" fillId="33" borderId="16" xfId="0" applyNumberFormat="1" applyFont="1" applyFill="1" applyBorder="1" applyAlignment="1">
      <x:alignment horizontal="left" vertical="center" wrapText="1"/>
    </x:xf>
    <x:xf numFmtId="0" fontId="19" fillId="33" borderId="17" xfId="0" applyNumberFormat="1" applyFont="1" applyFill="1" applyBorder="1" applyAlignment="1">
      <x:alignment horizontal="left" vertical="center" wrapText="1"/>
    </x:xf>
    <x:xf numFmtId="0" fontId="19" fillId="33" borderId="18" xfId="0" applyNumberFormat="1" applyFont="1" applyFill="1" applyBorder="1" applyAlignment="1">
      <x:alignment horizontal="left" vertical="center" wrapText="1"/>
    </x:xf>
    <x:xf numFmtId="0" fontId="19" fillId="34" borderId="16" xfId="0" applyNumberFormat="1" applyFont="1" applyFill="1" applyBorder="1" applyAlignment="1">
      <x:alignment horizontal="left" vertical="center" wrapText="1"/>
    </x:xf>
    <x:xf numFmtId="0" fontId="19" fillId="34" borderId="17" xfId="0" applyNumberFormat="1" applyFont="1" applyFill="1" applyBorder="1" applyAlignment="1">
      <x:alignment horizontal="left" vertical="center" wrapText="1"/>
    </x:xf>
    <x:xf numFmtId="0" fontId="19" fillId="34" borderId="1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b518423464c32" /><Relationship Type="http://schemas.openxmlformats.org/officeDocument/2006/relationships/theme" Target="/xl/theme/theme1.xml" Id="Rafc04ed8cad54607" /><Relationship Type="http://schemas.openxmlformats.org/officeDocument/2006/relationships/sharedStrings" Target="/xl/sharedStrings.xml" Id="R13ac84a2af94488d" /><Relationship Type="http://schemas.openxmlformats.org/officeDocument/2006/relationships/worksheet" Target="/xl/worksheets/sheet1.xml" Id="Rfc9fe088278348a4" /><Relationship Type="http://schemas.openxmlformats.org/officeDocument/2006/relationships/worksheet" Target="/xl/worksheets/sheet2.xml" Id="Ra4bc083c170a4c08" /><Relationship Type="http://schemas.openxmlformats.org/officeDocument/2006/relationships/worksheet" Target="/xl/worksheets/sheet3.xml" Id="Recb80e6af3894bf3" /><Relationship Type="http://schemas.openxmlformats.org/officeDocument/2006/relationships/worksheet" Target="/xl/worksheets/sheet4.xml" Id="R99b80a830a7e47df" /><Relationship Type="http://schemas.openxmlformats.org/officeDocument/2006/relationships/worksheet" Target="/xl/worksheets/sheet5.xml" Id="Ra371ec20932d47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e8c55b737244ab" /><Relationship Type="http://schemas.openxmlformats.org/officeDocument/2006/relationships/chart" Target="/xl/drawings/charts/chart2.xml" Id="R6d0284ab88404278" /><Relationship Type="http://schemas.openxmlformats.org/officeDocument/2006/relationships/chart" Target="/xl/drawings/charts/chart3.xml" Id="Rb55e86c670b44a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1. Neto recibido: casos de guía y propios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Neto</c:v>
          </c:tx>
          <c:spPr>
            <a:solidFill xmlns:a="http://schemas.openxmlformats.org/drawingml/2006/main">
              <a:srgbClr val="2E7D32"/>
            </a:solidFill>
          </c:spPr>
          <c:invertIfNegative val="0"/>
          <c:cat>
            <c:strRef>
              <c:f>'Gráficos'!$N$3:$N$8</c:f>
              <c:strCache>
                <c:ptCount val="0"/>
              </c:strCache>
            </c:strRef>
          </c:cat>
          <c:val>
            <c:numRef>
              <c:f>'Gráficos'!$O$3:$O$8</c:f>
              <c:numCache>
                <c:formatCode>"S/ 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S/ 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2. Distribución del costo · Caso 3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Monto</c:v>
          </c:tx>
          <c:cat>
            <c:strRef>
              <c:f>'Gráficos'!$Q$3:$Q$5</c:f>
              <c:strCache>
                <c:ptCount val="0"/>
              </c:strCache>
            </c:strRef>
          </c:cat>
          <c:val>
            <c:numRef>
              <c:f>'Gráficos'!$R$3:$R$5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3. Porcentaje neto: casos de guía y propios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% neto</c:v>
          </c:tx>
          <c:spPr>
            <a:solidFill xmlns:a="http://schemas.openxmlformats.org/drawingml/2006/main">
              <a:srgbClr val="F26B00"/>
            </a:solidFill>
          </c:spPr>
          <c:marker>
            <c:symbol val="none"/>
          </c:marker>
          <c:cat>
            <c:strRef>
              <c:f>'Gráficos'!$T$3:$T$8</c:f>
              <c:strCache>
                <c:ptCount val="0"/>
              </c:strCache>
            </c:strRef>
          </c:cat>
          <c:val>
            <c:numRef>
              <c:f>'Gráficos'!$U$3:$U$8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e8c55b737244ab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0284ab88404278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5e86c670b44a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321da77891b4302" /><Relationship Type="http://schemas.openxmlformats.org/officeDocument/2006/relationships/vmlDrawing" Target="/xl/drawings/vmldrawing.vml" Id="Rc9c5afb439ce4a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cd11fc0d0ed49de" /><Relationship Type="http://schemas.openxmlformats.org/officeDocument/2006/relationships/vmlDrawing" Target="/xl/drawings/vmldrawing2.vml" Id="R89dd1d8934b848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33fdb4b3864c4106" /><Relationship Type="http://schemas.openxmlformats.org/officeDocument/2006/relationships/vmlDrawing" Target="/xl/drawings/vmldrawing3.vml" Id="R9a30004a27c247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948598325a64cf0" /></Relationships>
</file>

<file path=xl/worksheets/sheet1.xml><?xml version="1.0" encoding="utf-8"?>
<x:worksheet xmlns:x="http://schemas.openxmlformats.org/spreadsheetml/2006/main">
  <x:sheetPr>
    <x:tabColor rgb="FFEF6C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31" hidden="0" customWidth="1"/>
    <x:col min="4" max="4" width="22" hidden="0" customWidth="1"/>
    <x:col min="5" max="5" width="20" hidden="0" customWidth="1"/>
  </x:cols>
  <x:sheetData>
    <x:row r="1" ht="15" hidden="0" customHeight="1">
      <x:c r="A1" s="2"/>
      <x:c r="B1" s="2"/>
      <x:c r="C1" s="2"/>
      <x:c r="D1" s="2"/>
      <x:c r="E1" s="2"/>
    </x:row>
    <x:row r="2" ht="21.600000381469727" hidden="0" customHeight="1">
      <x:c r="A2" s="5" t="str">
        <x:v>Parámetros y fuentes</x:v>
      </x:c>
      <x:c r="B2" s="4"/>
      <x:c r="C2" s="4"/>
      <x:c r="D2" s="4"/>
      <x:c r="E2" s="4"/>
    </x:row>
    <x:row r="3" ht="15" hidden="0" customHeight="1">
      <x:c r="A3" s="6" t="str">
        <x:v>Modifique únicamente los valores naranja cuando cambie una tasa oficial.</x:v>
      </x:c>
      <x:c r="B3" s="6"/>
      <x:c r="C3" s="6"/>
      <x:c r="D3" s="6"/>
      <x:c r="E3" s="6"/>
    </x:row>
    <x:row r="4" ht="24" hidden="0" customHeight="1">
      <x:c r="A4" s="103" t="str">
        <x:v>1. PARÁMETROS GENERALES PARA LOS CÁLCULOS</x:v>
      </x:c>
      <x:c r="B4" s="104" t="str"/>
      <x:c r="C4" s="105" t="str"/>
      <x:c r="D4" s="104"/>
      <x:c r="E4" s="106"/>
    </x:row>
    <x:row r="5" ht="22" hidden="0" customHeight="1">
      <x:c r="A5" s="107" t="str">
        <x:v>Parámetro</x:v>
      </x:c>
      <x:c r="B5" s="107" t="str">
        <x:v>Valor</x:v>
      </x:c>
      <x:c r="C5" s="107" t="str">
        <x:v>Unidad</x:v>
      </x:c>
      <x:c r="D5" s="108" t="str">
        <x:v>Fuente</x:v>
      </x:c>
      <x:c r="E5" s="108" t="str">
        <x:v>Aplicación</x:v>
      </x:c>
    </x:row>
    <x:row r="6" ht="15" hidden="0" customHeight="1">
      <x:c r="A6" s="65" t="str">
        <x:v>RMV</x:v>
      </x:c>
      <x:c r="B6" s="66" t="n">
        <x:v>1230</x:v>
      </x:c>
      <x:c r="C6" s="65" t="str">
        <x:v>Soles</x:v>
      </x:c>
      <x:c r="D6" s="65" t="str">
        <x:v>D.S. 015-2026-TR</x:v>
      </x:c>
      <x:c r="E6" s="65" t="str">
        <x:v>Todos los cálculos</x:v>
      </x:c>
    </x:row>
    <x:row r="7" ht="15" hidden="0" customHeight="1">
      <x:c r="A7" s="65" t="str">
        <x:v>Asignación familiar</x:v>
      </x:c>
      <x:c r="B7" s="67" t="n">
        <x:v>0.1</x:v>
      </x:c>
      <x:c r="C7" s="65" t="str">
        <x:v>% de la RMV</x:v>
      </x:c>
      <x:c r="D7" s="65" t="str">
        <x:v>Ley 25129</x:v>
      </x:c>
      <x:c r="E7" s="65" t="str">
        <x:v>Cuando tiene hijos</x:v>
      </x:c>
    </x:row>
    <x:row r="8" ht="15" hidden="0" customHeight="1">
      <x:c r="A8" s="65" t="str">
        <x:v>ONP</x:v>
      </x:c>
      <x:c r="B8" s="67" t="n">
        <x:v>0.13</x:v>
      </x:c>
      <x:c r="C8" s="65" t="str">
        <x:v>% de remuneraciones</x:v>
      </x:c>
      <x:c r="D8" s="65" t="str">
        <x:v>D.L. 19990</x:v>
      </x:c>
      <x:c r="E8" s="65" t="str">
        <x:v>Sistema ONP</x:v>
      </x:c>
    </x:row>
    <x:row r="9" ht="15" hidden="0" customHeight="1">
      <x:c r="A9" s="65" t="str">
        <x:v>EsSalud</x:v>
      </x:c>
      <x:c r="B9" s="67" t="n">
        <x:v>0.09</x:v>
      </x:c>
      <x:c r="C9" s="65" t="str">
        <x:v>% de remuneraciones</x:v>
      </x:c>
      <x:c r="D9" s="65" t="str">
        <x:v>Ley 26790</x:v>
      </x:c>
      <x:c r="E9" s="65" t="str">
        <x:v>Aporte del empleador</x:v>
      </x:c>
    </x:row>
    <x:row r="10" ht="15" hidden="0" customHeight="1">
      <x:c r="A10" s="65" t="str">
        <x:v>Horas extra 25%</x:v>
      </x:c>
      <x:c r="B10" s="67" t="n">
        <x:v>0.25</x:v>
      </x:c>
      <x:c r="C10" s="65" t="str">
        <x:v>Recargo</x:v>
      </x:c>
      <x:c r="D10" s="65" t="str">
        <x:v>D.S. 007-2002-TR</x:v>
      </x:c>
      <x:c r="E10" s="65" t="str">
        <x:v>Primeras horas extra</x:v>
      </x:c>
    </x:row>
    <x:row r="11" ht="15" hidden="0" customHeight="1">
      <x:c r="A11" s="65" t="str">
        <x:v>Horas extra 35%</x:v>
      </x:c>
      <x:c r="B11" s="67" t="n">
        <x:v>0.35</x:v>
      </x:c>
      <x:c r="C11" s="65" t="str">
        <x:v>Recargo</x:v>
      </x:c>
      <x:c r="D11" s="65" t="str">
        <x:v>D.S. 007-2002-TR</x:v>
      </x:c>
      <x:c r="E11" s="65" t="str">
        <x:v>Horas siguientes</x:v>
      </x:c>
    </x:row>
    <x:row r="12" ht="15" hidden="0" customHeight="1">
      <x:c r="A12" s="65" t="str">
        <x:v>AFP guía: fondo</x:v>
      </x:c>
      <x:c r="B12" s="67" t="n">
        <x:v>0.1</x:v>
      </x:c>
      <x:c r="C12" s="65" t="str">
        <x:v>% de remuneraciones</x:v>
      </x:c>
      <x:c r="D12" s="65" t="str">
        <x:v>Guía académica</x:v>
      </x:c>
      <x:c r="E12" s="65" t="str">
        <x:v>Solo opción AFP Guía</x:v>
      </x:c>
    </x:row>
    <x:row r="13" ht="15" hidden="0" customHeight="1">
      <x:c r="A13" s="65" t="str">
        <x:v>AFP guía: comisión</x:v>
      </x:c>
      <x:c r="B13" s="67" t="n">
        <x:v>0.016</x:v>
      </x:c>
      <x:c r="C13" s="65" t="str">
        <x:v>% de remuneraciones</x:v>
      </x:c>
      <x:c r="D13" s="65" t="str">
        <x:v>Guía académica</x:v>
      </x:c>
      <x:c r="E13" s="65" t="str">
        <x:v>Solo opción AFP Guía</x:v>
      </x:c>
    </x:row>
    <x:row r="14" ht="15" hidden="0" customHeight="1">
      <x:c r="A14" s="65" t="str">
        <x:v>AFP guía: seguro</x:v>
      </x:c>
      <x:c r="B14" s="67" t="n">
        <x:v>0.0135</x:v>
      </x:c>
      <x:c r="C14" s="65" t="str">
        <x:v>% de remuneraciones</x:v>
      </x:c>
      <x:c r="D14" s="65" t="str">
        <x:v>Guía académica</x:v>
      </x:c>
      <x:c r="E14" s="65" t="str">
        <x:v>Solo opción AFP Guía</x:v>
      </x:c>
    </x:row>
    <x:row r="15" ht="28" hidden="0" customHeight="1">
      <x:c r="A15" s="218" t="str">
        <x:v>Aclaración: 1.60% corresponde a AFP Guía y también a Prima. Si se elige Habitat, la boleta usa 1.47%.</x:v>
      </x:c>
      <x:c r="B15" s="219"/>
      <x:c r="C15" s="219"/>
      <x:c r="D15" s="219"/>
      <x:c r="E15" s="220"/>
    </x:row>
    <x:row r="16" ht="24" hidden="0" customHeight="1">
      <x:c r="A16" s="103" t="str">
        <x:v>2. TASAS AFP VIGENTES PARA CASOS REALES</x:v>
      </x:c>
      <x:c r="B16" s="104" t="str"/>
      <x:c r="C16" s="104" t="str"/>
      <x:c r="D16" s="104" t="str"/>
      <x:c r="E16" s="106" t="str"/>
    </x:row>
    <x:row r="17" ht="22" hidden="0" customHeight="1">
      <x:c r="A17" s="107" t="str">
        <x:v>AFP</x:v>
      </x:c>
      <x:c r="B17" s="107" t="str">
        <x:v>Fondo</x:v>
      </x:c>
      <x:c r="C17" s="107" t="str">
        <x:v>Comisión mensual</x:v>
      </x:c>
      <x:c r="D17" s="107" t="str">
        <x:v>Seguro</x:v>
      </x:c>
      <x:c r="E17" s="107" t="str">
        <x:v>Tope asegurable</x:v>
      </x:c>
    </x:row>
    <x:row r="18" ht="15" hidden="0" customHeight="1">
      <x:c r="A18" s="65" t="str">
        <x:v>Habitat</x:v>
      </x:c>
      <x:c r="B18" s="69" t="n">
        <x:v>0.1</x:v>
      </x:c>
      <x:c r="C18" s="69" t="n">
        <x:v>0.0147</x:v>
      </x:c>
      <x:c r="D18" s="69" t="n">
        <x:v>0.0137</x:v>
      </x:c>
      <x:c r="E18" s="70" t="n">
        <x:v>12732.7</x:v>
      </x:c>
    </x:row>
    <x:row r="19" ht="15" hidden="0" customHeight="1">
      <x:c r="A19" s="65" t="str">
        <x:v>Integra</x:v>
      </x:c>
      <x:c r="B19" s="69" t="n">
        <x:v>0.1</x:v>
      </x:c>
      <x:c r="C19" s="69" t="n">
        <x:v>0.0155</x:v>
      </x:c>
      <x:c r="D19" s="69" t="n">
        <x:v>0.0137</x:v>
      </x:c>
      <x:c r="E19" s="70" t="n">
        <x:v>12732.7</x:v>
      </x:c>
    </x:row>
    <x:row r="20" ht="15" hidden="0" customHeight="1">
      <x:c r="A20" s="65" t="str">
        <x:v>Prima</x:v>
      </x:c>
      <x:c r="B20" s="69" t="n">
        <x:v>0.1</x:v>
      </x:c>
      <x:c r="C20" s="69" t="n">
        <x:v>0.016</x:v>
      </x:c>
      <x:c r="D20" s="69" t="n">
        <x:v>0.0137</x:v>
      </x:c>
      <x:c r="E20" s="70" t="n">
        <x:v>12732.7</x:v>
      </x:c>
    </x:row>
    <x:row r="21" ht="15" hidden="0" customHeight="1">
      <x:c r="A21" s="65" t="str">
        <x:v>Profuturo</x:v>
      </x:c>
      <x:c r="B21" s="69" t="n">
        <x:v>0.1</x:v>
      </x:c>
      <x:c r="C21" s="69" t="n">
        <x:v>0.0169</x:v>
      </x:c>
      <x:c r="D21" s="69" t="n">
        <x:v>0.0137</x:v>
      </x:c>
      <x:c r="E21" s="70" t="n">
        <x:v>12732.7</x:v>
      </x:c>
    </x:row>
    <x:row r="22" ht="10" hidden="0" customHeight="1">
      <x:c r="A22" s="2"/>
      <x:c r="B22" s="2"/>
      <x:c r="C22" s="2"/>
      <x:c r="D22" s="2"/>
      <x:c r="E22" s="2"/>
    </x:row>
    <x:row r="23" ht="24" hidden="0" customHeight="1">
      <x:c r="A23" s="103" t="str">
        <x:v>3. FUENTES OFICIALES CONSULTADAS</x:v>
      </x:c>
      <x:c r="B23" s="104" t="str"/>
      <x:c r="C23" s="104" t="str"/>
      <x:c r="D23" s="105" t="str"/>
      <x:c r="E23" s="106"/>
    </x:row>
    <x:row r="24" ht="22" hidden="0" customHeight="1">
      <x:c r="A24" s="107" t="str">
        <x:v>Dato</x:v>
      </x:c>
      <x:c r="B24" s="107" t="str">
        <x:v>Entidad</x:v>
      </x:c>
      <x:c r="C24" s="107" t="str">
        <x:v>Enlace</x:v>
      </x:c>
      <x:c r="D24" s="107" t="str">
        <x:v>Consulta</x:v>
      </x:c>
      <x:c r="E24" s="108" t="str">
        <x:v>Uso</x:v>
      </x:c>
    </x:row>
    <x:row r="25" ht="15" hidden="0" customHeight="1">
      <x:c r="A25" s="65" t="str">
        <x:v>RMV</x:v>
      </x:c>
      <x:c r="B25" s="65" t="str">
        <x:v>El Peruano</x:v>
      </x:c>
      <x:c r="C25" s="71" t="str">
        <x:v>Ver enlace en la nota</x:v>
      </x:c>
      <x:c r="D25" s="72" t="str">
        <x:v>22/10/2026</x:v>
      </x:c>
      <x:c r="E25" s="65" t="str">
        <x:v>Parámetros</x:v>
      </x:c>
    </x:row>
    <x:row r="26" ht="15" hidden="0" customHeight="1">
      <x:c r="A26" s="65" t="str">
        <x:v>Asignación familiar</x:v>
      </x:c>
      <x:c r="B26" s="65" t="str">
        <x:v>MTPE</x:v>
      </x:c>
      <x:c r="C26" s="71" t="str">
        <x:v>Ver enlace en la nota</x:v>
      </x:c>
      <x:c r="D26" s="72" t="str">
        <x:v>22/10/2026</x:v>
      </x:c>
      <x:c r="E26" s="65" t="str">
        <x:v>Parámetros</x:v>
      </x:c>
    </x:row>
    <x:row r="27" ht="15" hidden="0" customHeight="1">
      <x:c r="A27" s="65" t="str">
        <x:v>ONP</x:v>
      </x:c>
      <x:c r="B27" s="65" t="str">
        <x:v>ONP</x:v>
      </x:c>
      <x:c r="C27" s="71" t="str">
        <x:v>Ver enlace en la nota</x:v>
      </x:c>
      <x:c r="D27" s="72" t="str">
        <x:v>22/10/2026</x:v>
      </x:c>
      <x:c r="E27" s="65" t="str">
        <x:v>Descuentos</x:v>
      </x:c>
    </x:row>
    <x:row r="28" ht="15" hidden="0" customHeight="1">
      <x:c r="A28" s="65" t="str">
        <x:v>EsSalud</x:v>
      </x:c>
      <x:c r="B28" s="65" t="str">
        <x:v>EsSalud</x:v>
      </x:c>
      <x:c r="C28" s="71" t="str">
        <x:v>Ver enlace en la nota</x:v>
      </x:c>
      <x:c r="D28" s="72" t="str">
        <x:v>22/10/2026</x:v>
      </x:c>
      <x:c r="E28" s="65" t="str">
        <x:v>Aporte empleador</x:v>
      </x:c>
    </x:row>
    <x:row r="29" ht="15" hidden="0" customHeight="1">
      <x:c r="A29" s="65" t="str">
        <x:v>Base EsSalud</x:v>
      </x:c>
      <x:c r="B29" s="65" t="str">
        <x:v>SUNAT</x:v>
      </x:c>
      <x:c r="C29" s="71" t="str">
        <x:v>Ver enlace en la nota</x:v>
      </x:c>
      <x:c r="D29" s="72" t="str">
        <x:v>22/10/2026</x:v>
      </x:c>
      <x:c r="E29" s="65" t="str">
        <x:v>Validación</x:v>
      </x:c>
    </x:row>
    <x:row r="30" ht="15" hidden="0" customHeight="1">
      <x:c r="A30" s="65" t="str">
        <x:v>Horas extras</x:v>
      </x:c>
      <x:c r="B30" s="65" t="str">
        <x:v>SUNAFIL</x:v>
      </x:c>
      <x:c r="C30" s="71" t="str">
        <x:v>Ver enlace en la nota</x:v>
      </x:c>
      <x:c r="D30" s="72" t="str">
        <x:v>22/10/2026</x:v>
      </x:c>
      <x:c r="E30" s="65" t="str">
        <x:v>Remuneraciones</x:v>
      </x:c>
    </x:row>
    <x:row r="31" ht="15" hidden="0" customHeight="1">
      <x:c r="A31" s="65" t="str">
        <x:v>Tasas AFP</x:v>
      </x:c>
      <x:c r="B31" s="65" t="str">
        <x:v>SBS</x:v>
      </x:c>
      <x:c r="C31" s="71" t="str">
        <x:v>Ver enlace en la nota</x:v>
      </x:c>
      <x:c r="D31" s="72" t="str">
        <x:v>22/10/2026</x:v>
      </x:c>
      <x:c r="E31" s="65" t="str">
        <x:v>Casos reales</x:v>
      </x:c>
    </x:row>
    <x:row r="32" ht="15" hidden="0" customHeight="1">
      <x:c r="A32" s="2"/>
      <x:c r="B32" s="2"/>
      <x:c r="C32" s="2"/>
      <x:c r="D32" s="2"/>
      <x:c r="E32" s="2"/>
    </x:row>
    <x:row r="33" ht="15" hidden="0" customHeight="1">
      <x:c r="A33" s="2"/>
      <x:c r="B33" s="2"/>
      <x:c r="C33" s="2"/>
      <x:c r="D33" s="2"/>
      <x:c r="E33" s="2"/>
    </x:row>
    <x:row r="34" ht="15" hidden="0" customHeight="1">
      <x:c r="A34" s="2"/>
      <x:c r="B34" s="2"/>
      <x:c r="C34" s="2"/>
      <x:c r="D34" s="2"/>
      <x:c r="E34" s="2"/>
    </x:row>
  </x:sheetData>
  <x:mergeCells>
    <x:mergeCell ref="A2:E2"/>
    <x:mergeCell ref="A4:E4"/>
    <x:mergeCell ref="A16:E16"/>
    <x:mergeCell ref="A23:E23"/>
    <x:mergeCell ref="A15:E15"/>
  </x:mergeCells>
  <x:pageMargins left="0.7" right="0.7" top="0.75" bottom="0.75" header="0.3" footer="0.3"/>
  <x:legacyDrawing xmlns:r="http://schemas.openxmlformats.org/officeDocument/2006/relationships" r:id="Rc9c5afb439ce4a2f"/>
</x:worksheet>
</file>

<file path=xl/worksheets/sheet2.xml><?xml version="1.0" encoding="utf-8"?>
<x:worksheet xmlns:x="http://schemas.openxmlformats.org/spreadsheetml/2006/main">
  <x:sheetPr>
    <x:tabColor rgb="FF2E7D3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30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15" hidden="0" customHeight="1">
      <x:c r="A1" s="2"/>
      <x:c r="B1" s="2"/>
      <x:c r="C1" s="2"/>
      <x:c r="D1"/>
      <x:c r="E1"/>
      <x:c r="F1"/>
      <x:c r="G1"/>
      <x:c r="H1"/>
    </x:row>
    <x:row r="2" ht="21.600000381469727" hidden="0" customHeight="1">
      <x:c r="A2" s="115" t="str">
        <x:v>Boleta de pago · Octubre 2026</x:v>
      </x:c>
      <x:c r="B2" s="115" t="str">
        <x:v>Boleta de pago · Simulación</x:v>
      </x:c>
      <x:c r="C2" s="115" t="str">
        <x:v>Boleta de pago · Simulación</x:v>
      </x:c>
      <x:c r="D2"/>
      <x:c r="E2"/>
      <x:c r="F2"/>
      <x:c r="G2"/>
      <x:c r="H2"/>
    </x:row>
    <x:row r="3" ht="15" hidden="0" customHeight="1">
      <x:c r="A3" s="6"/>
      <x:c r="B3" s="6"/>
      <x:c r="C3" s="6"/>
      <x:c r="D3"/>
      <x:c r="E3"/>
      <x:c r="F3"/>
      <x:c r="G3"/>
      <x:c r="H3"/>
    </x:row>
    <x:row r="4" ht="10" hidden="0" customHeight="1">
      <x:c r="A4" s="2"/>
      <x:c r="B4" s="2"/>
      <x:c r="C4" s="2"/>
      <x:c r="D4"/>
      <x:c r="E4"/>
      <x:c r="F4"/>
      <x:c r="G4"/>
      <x:c r="H4"/>
    </x:row>
    <x:row r="5" ht="15" hidden="0" customHeight="1">
      <x:c r="A5" s="119" t="str">
        <x:v>1. DATOS DE ENTRADA</x:v>
      </x:c>
      <x:c r="B5" s="120" t="str">
        <x:v>1. DATOS DE ENTRADA</x:v>
      </x:c>
      <x:c r="C5" s="121" t="str">
        <x:v>1. DATOS DE ENTRADA</x:v>
      </x:c>
      <x:c r="D5"/>
      <x:c r="E5"/>
      <x:c r="F5"/>
      <x:c r="G5"/>
      <x:c r="H5"/>
    </x:row>
    <x:row r="6" ht="15" hidden="0" customHeight="1">
      <x:c r="A6" s="125" t="str">
        <x:v>Dato</x:v>
      </x:c>
      <x:c r="B6" s="125" t="str">
        <x:v>Valor</x:v>
      </x:c>
      <x:c r="C6" s="125" t="str">
        <x:v>Validación</x:v>
      </x:c>
      <x:c r="D6"/>
      <x:c r="E6"/>
      <x:c r="F6"/>
      <x:c r="G6"/>
      <x:c r="H6"/>
    </x:row>
    <x:row r="7" ht="15" hidden="0" customHeight="1">
      <x:c r="A7" s="17" t="str">
        <x:v>Sueldo básico</x:v>
      </x:c>
      <x:c r="B7" s="196" t="n">
        <x:v>4000</x:v>
      </x:c>
      <x:c r="C7" s="17" t="str">
        <x:v>Mayor que cero</x:v>
      </x:c>
      <x:c r="D7"/>
      <x:c r="E7"/>
      <x:c r="F7"/>
      <x:c r="G7"/>
      <x:c r="H7"/>
    </x:row>
    <x:row r="8" ht="15" hidden="0" customHeight="1">
      <x:c r="A8" s="17" t="str">
        <x:v>Días laborados</x:v>
      </x:c>
      <x:c r="B8" s="128" t="n">
        <x:v>26</x:v>
      </x:c>
      <x:c r="C8" s="17" t="str">
        <x:v>Entre 1 y 30</x:v>
      </x:c>
      <x:c r="D8"/>
      <x:c r="E8"/>
      <x:c r="F8"/>
      <x:c r="G8"/>
      <x:c r="H8"/>
    </x:row>
    <x:row r="9" ht="15" hidden="0" customHeight="1">
      <x:c r="A9" s="17" t="str">
        <x:v>¿Tiene hijos?</x:v>
      </x:c>
      <x:c r="B9" s="126" t="str">
        <x:v>Sí</x:v>
      </x:c>
      <x:c r="C9" s="17" t="str">
        <x:v>No / Sí</x:v>
      </x:c>
      <x:c r="D9"/>
      <x:c r="E9"/>
      <x:c r="F9"/>
      <x:c r="G9"/>
      <x:c r="H9"/>
    </x:row>
    <x:row r="10" ht="15" hidden="0" customHeight="1">
      <x:c r="A10" s="17" t="str">
        <x:v>Sistema de pensiones</x:v>
      </x:c>
      <x:c r="B10" s="126" t="str">
        <x:v>AFP</x:v>
      </x:c>
      <x:c r="C10" s="17" t="str">
        <x:v>ONP / AFP</x:v>
      </x:c>
      <x:c r="D10"/>
      <x:c r="E10"/>
      <x:c r="F10"/>
      <x:c r="G10"/>
      <x:c r="H10"/>
    </x:row>
    <x:row r="11" ht="15" hidden="0" customHeight="1">
      <x:c r="A11" s="17" t="str">
        <x:v>AFP</x:v>
      </x:c>
      <x:c r="B11" s="126" t="str">
        <x:v>Habitat</x:v>
      </x:c>
      <x:c r="C11" s="17" t="str">
        <x:f>IF(B10&lt;&gt;"AFP","No aplica",IF(B11="AFP Guía","Comisión académica: 1.60%",IF(B11="Habitat","Comisión Habitat: 1.47%",IF(B11="Integra","Comisión Integra: 1.55%",IF(B11="Prima","Comisión Prima: 1.60%","Comisión Profuturo: 1.69%")))))</x:f>
        <x:v>Comisión Habitat: 1.47%</x:v>
      </x:c>
      <x:c r="D11"/>
      <x:c r="E11"/>
      <x:c r="F11"/>
      <x:c r="G11"/>
      <x:c r="H11"/>
    </x:row>
    <x:row r="12" ht="15" hidden="0" customHeight="1">
      <x:c r="A12" s="17" t="str">
        <x:v>Horas extras al 25%</x:v>
      </x:c>
      <x:c r="B12" s="129" t="n">
        <x:v>2</x:v>
      </x:c>
      <x:c r="C12" s="17" t="str">
        <x:v>Mayor o igual a cero</x:v>
      </x:c>
      <x:c r="D12"/>
      <x:c r="E12"/>
      <x:c r="F12"/>
      <x:c r="G12"/>
      <x:c r="H12"/>
    </x:row>
    <x:row r="13" ht="15" hidden="0" customHeight="1">
      <x:c r="A13" s="17" t="str">
        <x:v>Horas extras al 35%</x:v>
      </x:c>
      <x:c r="B13" s="129" t="n">
        <x:v>3</x:v>
      </x:c>
      <x:c r="C13" s="17" t="str">
        <x:v>Mayor o igual a cero</x:v>
      </x:c>
      <x:c r="D13"/>
      <x:c r="E13"/>
      <x:c r="F13"/>
      <x:c r="G13"/>
      <x:c r="H13"/>
    </x:row>
    <x:row r="14" ht="15" hidden="0" customHeight="1">
      <x:c r="A14" s="17" t="str">
        <x:v>Adelantos</x:v>
      </x:c>
      <x:c r="B14" s="196" t="n">
        <x:v>150</x:v>
      </x:c>
      <x:c r="C14" s="17" t="str">
        <x:v>Mayor o igual a cero</x:v>
      </x:c>
      <x:c r="D14"/>
      <x:c r="E14"/>
      <x:c r="F14"/>
      <x:c r="G14"/>
      <x:c r="H14"/>
    </x:row>
    <x:row r="15" ht="18" hidden="0" customHeight="1">
      <x:c r="A15" s="2"/>
      <x:c r="B15" s="2"/>
      <x:c r="C15" s="2"/>
      <x:c r="D15"/>
      <x:c r="E15"/>
      <x:c r="F15"/>
      <x:c r="G15"/>
      <x:c r="H15"/>
    </x:row>
    <x:row r="16" ht="24" hidden="0" customHeight="1">
      <x:c r="A16" s="156" t="str">
        <x:v>2. DATOS DEL TRABAJADOR</x:v>
      </x:c>
      <x:c r="B16" s="157" t="str">
        <x:v>2. DATOS OPCIONALES</x:v>
      </x:c>
      <x:c r="C16"/>
      <x:c r="D16"/>
      <x:c r="E16"/>
      <x:c r="F16"/>
      <x:c r="G16"/>
      <x:c r="H16"/>
    </x:row>
    <x:row r="17" ht="15" hidden="0" customHeight="1">
      <x:c r="A17" s="192" t="str">
        <x:v>Dato</x:v>
      </x:c>
      <x:c r="B17" s="192" t="str">
        <x:v>Información</x:v>
      </x:c>
      <x:c r="C17" s="2"/>
      <x:c r="D17"/>
      <x:c r="E17"/>
      <x:c r="F17"/>
      <x:c r="G17"/>
      <x:c r="H17"/>
    </x:row>
    <x:row r="18" ht="34" hidden="0" customHeight="1">
      <x:c r="A18" s="172" t="str">
        <x:v>Profesional y puesto</x:v>
      </x:c>
      <x:c r="B18" s="206" t="str">
        <x:v>Edgar Rodolfo Quispe · Ingeniero de desarrollo de software</x:v>
      </x:c>
      <x:c r="C18" s="2"/>
      <x:c r="D18"/>
      <x:c r="E18"/>
      <x:c r="F18"/>
      <x:c r="G18"/>
      <x:c r="H18"/>
    </x:row>
    <x:row r="19" ht="34" hidden="0" customHeight="1">
      <x:c r="A19" s="172" t="str">
        <x:v>Oferta base y periodo</x:v>
      </x:c>
      <x:c r="B19" s="206" t="str">
        <x:v>Seidor Consulting Perú · Octubre 2026</x:v>
      </x:c>
      <x:c r="C19" s="2"/>
      <x:c r="D19"/>
      <x:c r="E19"/>
      <x:c r="F19"/>
      <x:c r="G19"/>
      <x:c r="H19"/>
    </x:row>
    <x:row r="20" ht="18" hidden="0" customHeight="1">
      <x:c r="A20" s="2"/>
      <x:c r="B20" s="2"/>
      <x:c r="C20" s="2"/>
      <x:c r="D20"/>
      <x:c r="E20"/>
      <x:c r="F20"/>
      <x:c r="G20"/>
      <x:c r="H20"/>
    </x:row>
    <x:row r="21" ht="24" hidden="0" customHeight="1">
      <x:c r="A21" s="156" t="str">
        <x:v>3. REMUNERACIONES</x:v>
      </x:c>
      <x:c r="B21" s="157" t="str">
        <x:v>3. REMUNERACIONES</x:v>
      </x:c>
      <x:c r="C21"/>
      <x:c r="D21"/>
      <x:c r="E21"/>
      <x:c r="F21"/>
      <x:c r="G21"/>
      <x:c r="H21"/>
    </x:row>
    <x:row r="22" ht="15" hidden="0" customHeight="1">
      <x:c r="A22" s="125" t="str">
        <x:v>Concepto</x:v>
      </x:c>
      <x:c r="B22" s="125" t="str">
        <x:v>Monto</x:v>
      </x:c>
      <x:c r="C22" s="2"/>
      <x:c r="D22"/>
      <x:c r="E22"/>
      <x:c r="F22"/>
      <x:c r="G22"/>
      <x:c r="H22"/>
    </x:row>
    <x:row r="23" ht="15" hidden="0" customHeight="1">
      <x:c r="A23" s="17" t="str">
        <x:v>Sueldo computable</x:v>
      </x:c>
      <x:c r="B23" s="197" t="n">
        <x:f>ROUND($B$7/30*$B$8,2)</x:f>
        <x:v>3466.67</x:v>
      </x:c>
      <x:c r="C23" s="2"/>
      <x:c r="D23"/>
      <x:c r="E23"/>
      <x:c r="F23"/>
      <x:c r="G23"/>
      <x:c r="H23"/>
    </x:row>
    <x:row r="24" ht="15" hidden="0" customHeight="1">
      <x:c r="A24" s="17" t="str">
        <x:v>Asignación familiar</x:v>
      </x:c>
      <x:c r="B24" s="197" t="n">
        <x:f>IF($B$9="Sí",ROUND('Parámetros'!$B$6*'Parámetros'!$B$7,2),0)</x:f>
        <x:v>123</x:v>
      </x:c>
      <x:c r="C24" s="2"/>
      <x:c r="D24"/>
      <x:c r="E24"/>
      <x:c r="F24"/>
      <x:c r="G24"/>
      <x:c r="H24"/>
    </x:row>
    <x:row r="25" ht="15" hidden="0" customHeight="1">
      <x:c r="A25" s="17" t="str">
        <x:v>Horas extras 25%</x:v>
      </x:c>
      <x:c r="B25" s="197" t="n">
        <x:f>ROUND(($B$7/30/8)*(1+'Parámetros'!$B$10)*$B$12,2)</x:f>
        <x:v>41.67</x:v>
      </x:c>
      <x:c r="C25" s="2"/>
      <x:c r="D25"/>
      <x:c r="E25"/>
      <x:c r="F25"/>
      <x:c r="G25"/>
      <x:c r="H25"/>
    </x:row>
    <x:row r="26" ht="15" hidden="0" customHeight="1">
      <x:c r="A26" s="17" t="str">
        <x:v>Horas extras 35%</x:v>
      </x:c>
      <x:c r="B26" s="197" t="n">
        <x:f>ROUND(($B$7/30/8)*(1+'Parámetros'!$B$11)*$B$13,2)</x:f>
        <x:v>67.5</x:v>
      </x:c>
      <x:c r="C26" s="2"/>
      <x:c r="D26"/>
      <x:c r="E26"/>
      <x:c r="F26"/>
      <x:c r="G26"/>
      <x:c r="H26"/>
    </x:row>
    <x:row r="27" ht="15" hidden="0" customHeight="1">
      <x:c r="A27" s="131" t="str">
        <x:v>Total remuneraciones</x:v>
      </x:c>
      <x:c r="B27" s="198" t="n">
        <x:f>ROUND(SUM(B23:B26),2)</x:f>
        <x:v>3698.84</x:v>
      </x:c>
      <x:c r="C27" s="2"/>
      <x:c r="D27"/>
      <x:c r="E27"/>
      <x:c r="F27"/>
      <x:c r="G27"/>
      <x:c r="H27"/>
    </x:row>
    <x:row r="28" ht="18" hidden="0" customHeight="1">
      <x:c r="A28" s="2"/>
      <x:c r="B28" s="199"/>
      <x:c r="C28" s="2"/>
      <x:c r="D28"/>
      <x:c r="E28"/>
      <x:c r="F28"/>
      <x:c r="G28"/>
      <x:c r="H28"/>
    </x:row>
    <x:row r="29" ht="24" hidden="0" customHeight="1">
      <x:c r="A29" s="156" t="str">
        <x:v>4. RETENCIONES Y DESCUENTOS</x:v>
      </x:c>
      <x:c r="B29" s="200" t="str">
        <x:v>4. RETENCIONES Y DESCUENTOS</x:v>
      </x:c>
      <x:c r="C29"/>
      <x:c r="D29"/>
      <x:c r="E29"/>
      <x:c r="F29"/>
      <x:c r="G29"/>
      <x:c r="H29"/>
    </x:row>
    <x:row r="30" ht="15" hidden="0" customHeight="1">
      <x:c r="A30" s="125" t="str">
        <x:v>Concepto</x:v>
      </x:c>
      <x:c r="B30" s="201" t="str">
        <x:v>Monto</x:v>
      </x:c>
      <x:c r="C30" s="2"/>
      <x:c r="D30"/>
      <x:c r="E30"/>
      <x:c r="F30"/>
      <x:c r="G30"/>
      <x:c r="H30"/>
    </x:row>
    <x:row r="31" ht="15" hidden="0" customHeight="1">
      <x:c r="A31" s="17" t="str">
        <x:v>ONP</x:v>
      </x:c>
      <x:c r="B31" s="197" t="n">
        <x:f>IF($B$10="ONP",ROUND($B$27*'Parámetros'!$B$8,2),0)</x:f>
        <x:v>0</x:v>
      </x:c>
      <x:c r="C31" s="2"/>
      <x:c r="D31"/>
      <x:c r="E31"/>
      <x:c r="F31"/>
      <x:c r="G31"/>
      <x:c r="H31"/>
    </x:row>
    <x:row r="32" ht="15" hidden="0" customHeight="1">
      <x:c r="A32" s="17" t="str">
        <x:v>AFP fondo</x:v>
      </x:c>
      <x:c r="B32" s="197" t="n">
        <x:f>IF($B$10="AFP",ROUND($B$27*IF($B$11="AFP Guía",'Parámetros'!$B$12,0.10),2),0)</x:f>
        <x:v>369.88</x:v>
      </x:c>
      <x:c r="C32" s="2"/>
      <x:c r="D32"/>
      <x:c r="E32"/>
      <x:c r="F32"/>
      <x:c r="G32"/>
      <x:c r="H32"/>
    </x:row>
    <x:row r="33" ht="15" hidden="0" customHeight="1">
      <x:c r="A33" s="17" t="str">
        <x:v>AFP comisión</x:v>
      </x:c>
      <x:c r="B33" s="197" t="n">
        <x:f>IF($B$10="AFP",ROUND($B$27*IF($B$11="AFP Guía",'Parámetros'!$B$13,IF($B$11="Habitat",'Parámetros'!$C$18,IF($B$11="Integra",'Parámetros'!$C$19,IF($B$11="Prima",'Parámetros'!$C$20,'Parámetros'!$C$21)))),2),0)</x:f>
        <x:v>54.37</x:v>
      </x:c>
      <x:c r="C33" s="2"/>
      <x:c r="D33"/>
      <x:c r="E33"/>
      <x:c r="F33"/>
      <x:c r="G33"/>
      <x:c r="H33"/>
    </x:row>
    <x:row r="34" ht="15" hidden="0" customHeight="1">
      <x:c r="A34" s="17" t="str">
        <x:v>AFP seguro</x:v>
      </x:c>
      <x:c r="B34" s="197" t="n">
        <x:f>IF($B$10="AFP",ROUND($B$27*IF($B$11="AFP Guía",'Parámetros'!$B$14,'Parámetros'!$D$18),2),0)</x:f>
        <x:v>50.67</x:v>
      </x:c>
      <x:c r="C34" s="2"/>
      <x:c r="D34"/>
      <x:c r="E34"/>
      <x:c r="F34"/>
      <x:c r="G34"/>
      <x:c r="H34"/>
    </x:row>
    <x:row r="35" ht="15" hidden="0" customHeight="1">
      <x:c r="A35" s="17" t="str">
        <x:v>Adelantos</x:v>
      </x:c>
      <x:c r="B35" s="197" t="n">
        <x:f>ROUND($B$14,2)</x:f>
        <x:v>150</x:v>
      </x:c>
      <x:c r="C35" s="2"/>
      <x:c r="D35"/>
      <x:c r="E35"/>
      <x:c r="F35"/>
      <x:c r="G35"/>
      <x:c r="H35"/>
    </x:row>
    <x:row r="36" ht="15" hidden="0" customHeight="1">
      <x:c r="A36" s="150" t="str">
        <x:v>Total descuentos</x:v>
      </x:c>
      <x:c r="B36" s="198" t="n">
        <x:f>ROUND(SUM(B31:B35),2)</x:f>
        <x:v>624.92</x:v>
      </x:c>
      <x:c r="C36"/>
      <x:c r="D36"/>
      <x:c r="E36"/>
      <x:c r="F36"/>
      <x:c r="G36"/>
      <x:c r="H36"/>
    </x:row>
    <x:row r="37" ht="18" hidden="0" customHeight="1">
      <x:c r="A37" s="2"/>
      <x:c r="B37" s="199"/>
      <x:c r="C37" s="2"/>
      <x:c r="D37"/>
      <x:c r="E37"/>
      <x:c r="F37"/>
      <x:c r="G37"/>
      <x:c r="H37"/>
    </x:row>
    <x:row r="38" ht="24" hidden="0" customHeight="1">
      <x:c r="A38" s="156" t="str">
        <x:v>5. APORTACIÓN DEL EMPLEADOR</x:v>
      </x:c>
      <x:c r="B38" s="200" t="str">
        <x:v>5. APORTACIÓN DEL EMPLEADOR</x:v>
      </x:c>
      <x:c r="C38"/>
      <x:c r="D38"/>
      <x:c r="E38"/>
      <x:c r="F38"/>
      <x:c r="G38"/>
      <x:c r="H38"/>
    </x:row>
    <x:row r="39" ht="15" hidden="0" customHeight="1">
      <x:c r="A39" s="125" t="str">
        <x:v>Concepto</x:v>
      </x:c>
      <x:c r="B39" s="201" t="str">
        <x:v>Monto</x:v>
      </x:c>
      <x:c r="C39" s="2"/>
      <x:c r="D39"/>
      <x:c r="E39"/>
      <x:c r="F39"/>
      <x:c r="G39"/>
      <x:c r="H39"/>
    </x:row>
    <x:row r="40" ht="15" hidden="0" customHeight="1">
      <x:c r="A40" s="17" t="str">
        <x:v>EsSalud (9%)</x:v>
      </x:c>
      <x:c r="B40" s="197" t="n">
        <x:f>ROUND($B$27*'Parámetros'!$B$9,2)</x:f>
        <x:v>332.9</x:v>
      </x:c>
      <x:c r="C40" s="2"/>
    </x:row>
    <x:row r="41" ht="18" hidden="0" customHeight="1">
      <x:c r="A41" s="204" t="str">
        <x:v>Costo total para la empresa</x:v>
      </x:c>
      <x:c r="B41" s="205" t="n">
        <x:f>ROUND(B27+B40,2)</x:f>
        <x:v>4031.74</x:v>
      </x:c>
      <x:c r="C41" s="2"/>
    </x:row>
    <x:row r="42" ht="15.600000381469727" hidden="0" customHeight="1">
      <x:c r="A42" s="139" t="str">
        <x:v>NETO A PAGAR</x:v>
      </x:c>
      <x:c r="B42" s="139" t="str">
        <x:v>NETO A PAGAR</x:v>
      </x:c>
      <x:c r="C42" s="2"/>
    </x:row>
    <x:row r="43" ht="24" hidden="0" customHeight="1">
      <x:c r="A43" s="140" t="n">
        <x:f>ROUND($B$27-$B$36,2)</x:f>
        <x:v>3073.92</x:v>
      </x:c>
      <x:c r="B43" s="140"/>
      <x:c r="C43" s="2"/>
    </x:row>
    <x:row r="44" ht="18" hidden="0" customHeight="1">
      <x:c r="A44" s="2"/>
      <x:c r="B44" s="2"/>
      <x:c r="C44" s="2"/>
    </x:row>
    <x:row r="45" ht="15" hidden="0" customHeight="1">
      <x:c r="A45" s="160" t="str">
        <x:v>EsSalud lo paga la empresa y no se descuenta del trabajador.</x:v>
      </x:c>
      <x:c r="B45" s="160"/>
      <x:c r="C45"/>
    </x:row>
  </x:sheetData>
  <x:mergeCells>
    <x:mergeCell ref="A2:C2"/>
    <x:mergeCell ref="A3:C3"/>
    <x:mergeCell ref="A5:C5"/>
    <x:mergeCell ref="A42:B42"/>
    <x:mergeCell ref="A43:B43"/>
    <x:mergeCell ref="A16:B16"/>
    <x:mergeCell ref="A21:B21"/>
    <x:mergeCell ref="A29:B29"/>
    <x:mergeCell ref="A38:B38"/>
    <x:mergeCell ref="A45:B45"/>
  </x:mergeCells>
  <x:dataValidations count="6">
    <x:dataValidation type="list" sqref="B9">
      <x:formula1>"No,Sí"</x:formula1>
    </x:dataValidation>
    <x:dataValidation type="list" sqref="B10">
      <x:formula1>"ONP,AFP"</x:formula1>
    </x:dataValidation>
    <x:dataValidation type="list" sqref="B11">
      <x:formula1>"AFP Guía,Habitat,Integra,Prima,Profuturo"</x:formula1>
    </x:dataValidation>
    <x:dataValidation type="decimal" operator="greaterThan" sqref="B7">
      <x:formula1>0</x:formula1>
    </x:dataValidation>
    <x:dataValidation type="whole" operator="between" sqref="B8">
      <x:formula1>1</x:formula1>
      <x:formula2>30</x:formula2>
    </x:dataValidation>
    <x:dataValidation type="decimal" operator="greaterThanOrEqual" sqref="B12:B14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89dd1d8934b84863"/>
</x:worksheet>
</file>

<file path=xl/worksheets/sheet3.xml><?xml version="1.0" encoding="utf-8"?>
<x:worksheet xmlns:x="http://schemas.openxmlformats.org/spreadsheetml/2006/main">
  <x:sheetPr>
    <x:tabColor rgb="FF2E7D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1.600000381469727" hidden="0" customHeight="1">
      <x:c r="A2" s="5" t="str">
        <x:v>Casos de prueba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2"/>
      <x:c r="Q2" s="2" t="str">
        <x:v>Caso</x:v>
      </x:c>
      <x:c r="R2" s="2" t="str">
        <x:v>Neto</x:v>
      </x:c>
      <x:c r="S2" s="2"/>
      <x:c r="T2" s="2" t="str">
        <x:v>Concepto</x:v>
      </x:c>
      <x:c r="U2" s="2" t="str">
        <x:v>Monto</x:v>
      </x:c>
      <x:c r="V2" s="2"/>
      <x:c r="W2" s="2" t="str">
        <x:v>Caso</x:v>
      </x:c>
      <x:c r="X2" s="2" t="str">
        <x:v>% neto</x:v>
      </x:c>
    </x:row>
    <x:row r="3" ht="15" hidden="0" customHeight="1">
      <x:c r="A3" s="6" t="str">
        <x:v>Las celdas naranja son entradas. Los resultados se calculan automáticamente.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 t="str">
        <x:v>Caso 1</x:v>
      </x:c>
      <x:c r="R3" s="2" t="n">
        <x:f>M15</x:f>
        <x:v>2175</x:v>
      </x:c>
      <x:c r="S3" s="2"/>
      <x:c r="T3" s="2" t="str">
        <x:v>Neto del trabajador</x:v>
      </x:c>
      <x:c r="U3" s="2" t="n">
        <x:f>M17</x:f>
        <x:v>2631.73</x:v>
      </x:c>
      <x:c r="V3" s="2"/>
      <x:c r="W3" s="2" t="str">
        <x:v>Caso 1</x:v>
      </x:c>
      <x:c r="X3" s="2" t="n">
        <x:f>M15/F15</x:f>
        <x:v>0.87</x:v>
      </x:c>
    </x:row>
    <x:row r="4" ht="24" hidden="0" customHeight="1">
      <x:c r="A4" s="103" t="str">
        <x:v>1. DATOS DE LOS CASOS</x:v>
      </x:c>
      <x:c r="B4" s="104"/>
      <x:c r="C4" s="104"/>
      <x:c r="D4" s="104"/>
      <x:c r="E4" s="104"/>
      <x:c r="F4" s="104"/>
      <x:c r="G4" s="104"/>
      <x:c r="H4" s="104"/>
      <x:c r="I4" s="104"/>
      <x:c r="J4" s="106"/>
      <x:c r="K4" s="2"/>
      <x:c r="L4" s="2"/>
      <x:c r="M4" s="2"/>
      <x:c r="N4" s="2"/>
      <x:c r="O4" s="2"/>
      <x:c r="P4" s="2"/>
      <x:c r="Q4" s="2" t="str">
        <x:v>Caso 2</x:v>
      </x:c>
      <x:c r="R4" s="2" t="n">
        <x:f>M16</x:f>
        <x:v>1516.41</x:v>
      </x:c>
      <x:c r="S4" s="2"/>
      <x:c r="T4" s="2" t="str">
        <x:v>Descuentos</x:v>
      </x:c>
      <x:c r="U4" s="2" t="n">
        <x:f>L17</x:f>
        <x:v>621.27</x:v>
      </x:c>
      <x:c r="V4" s="2"/>
      <x:c r="W4" s="2" t="str">
        <x:v>Caso 2</x:v>
      </x:c>
      <x:c r="X4" s="2" t="n">
        <x:f>M16/F16</x:f>
        <x:v>0.87</x:v>
      </x:c>
    </x:row>
    <x:row r="5" ht="22" hidden="0" customHeight="1">
      <x:c r="A5" s="107" t="str">
        <x:v>Caso</x:v>
      </x:c>
      <x:c r="B5" s="107" t="str">
        <x:v>Sueldo</x:v>
      </x:c>
      <x:c r="C5" s="107" t="str">
        <x:v>Días</x:v>
      </x:c>
      <x:c r="D5" s="107" t="str">
        <x:v>Hijos</x:v>
      </x:c>
      <x:c r="E5" s="107" t="str">
        <x:v>Pensión</x:v>
      </x:c>
      <x:c r="F5" s="107" t="str">
        <x:v>AFP</x:v>
      </x:c>
      <x:c r="G5" s="107" t="str">
        <x:v>HE 25%</x:v>
      </x:c>
      <x:c r="H5" s="107" t="str">
        <x:v>HE 35%</x:v>
      </x:c>
      <x:c r="I5" s="107" t="str">
        <x:v>Adelanto</x:v>
      </x:c>
      <x:c r="J5" s="107" t="str">
        <x:v>Estado</x:v>
      </x:c>
      <x:c r="K5" s="2"/>
      <x:c r="L5" s="2"/>
      <x:c r="M5" s="2"/>
      <x:c r="N5" s="2"/>
      <x:c r="O5" s="2"/>
      <x:c r="P5" s="2"/>
      <x:c r="Q5" s="2" t="str">
        <x:v>Caso 3</x:v>
      </x:c>
      <x:c r="R5" s="2" t="n">
        <x:f>M17</x:f>
        <x:v>2631.73</x:v>
      </x:c>
      <x:c r="S5" s="2"/>
      <x:c r="T5" s="2" t="str">
        <x:v>EsSalud</x:v>
      </x:c>
      <x:c r="U5" s="2" t="n">
        <x:f>N17</x:f>
        <x:v>292.77</x:v>
      </x:c>
      <x:c r="V5" s="2"/>
      <x:c r="W5" s="2" t="str">
        <x:v>Caso 3</x:v>
      </x:c>
      <x:c r="X5" s="2" t="n">
        <x:f>M17/F17</x:f>
        <x:v>0.8090162926529357</x:v>
      </x:c>
    </x:row>
    <x:row r="6" ht="15" hidden="0" customHeight="1">
      <x:c r="A6" s="65" t="str">
        <x:v>Caso 1</x:v>
      </x:c>
      <x:c r="B6" s="66" t="n">
        <x:v>2500</x:v>
      </x:c>
      <x:c r="C6" s="79" t="n">
        <x:v>30</x:v>
      </x:c>
      <x:c r="D6" s="81" t="str">
        <x:v>No</x:v>
      </x:c>
      <x:c r="E6" s="81" t="str">
        <x:v>ONP</x:v>
      </x:c>
      <x:c r="F6" s="81" t="str">
        <x:v>AFP Guía</x:v>
      </x:c>
      <x:c r="G6" s="79" t="n">
        <x:v>0</x:v>
      </x:c>
      <x:c r="H6" s="79" t="n">
        <x:v>0</x:v>
      </x:c>
      <x:c r="I6" s="66" t="n">
        <x:v>0</x:v>
      </x:c>
      <x:c r="J6" s="72" t="str">
        <x:f>IF(B6="","Pendiente",IF(AND(B6&gt;0,C6&gt;=1,C6&lt;=30,G6&gt;=0,H6&gt;=0,I6&gt;=0),"Válido","Revisar"))</x:f>
        <x:v>Válido</x:v>
      </x:c>
      <x:c r="K6" s="2"/>
      <x:c r="L6" s="2"/>
      <x:c r="M6" s="2"/>
      <x:c r="N6" s="2"/>
      <x:c r="O6" s="2"/>
      <x:c r="P6" s="2"/>
      <x:c r="Q6" s="2" t="str">
        <x:v>Caso 4</x:v>
      </x:c>
      <x:c r="R6" s="2" t="n">
        <x:f>M18</x:f>
        <x:v>3011.17</x:v>
      </x:c>
      <x:c r="S6" s="2"/>
      <x:c r="T6" s="2"/>
      <x:c r="U6" s="2"/>
      <x:c r="V6" s="2"/>
      <x:c r="W6" s="2" t="str">
        <x:v>Caso 4</x:v>
      </x:c>
      <x:c r="X6" s="2" t="n">
        <x:f>M18/F18</x:f>
        <x:v>0.8425209848908786</x:v>
      </x:c>
    </x:row>
    <x:row r="7" ht="15" hidden="0" customHeight="1">
      <x:c r="A7" s="65" t="str">
        <x:v>Caso 2</x:v>
      </x:c>
      <x:c r="B7" s="66" t="n">
        <x:v>1800</x:v>
      </x:c>
      <x:c r="C7" s="79" t="n">
        <x:v>27</x:v>
      </x:c>
      <x:c r="D7" s="81" t="str">
        <x:v>Sí</x:v>
      </x:c>
      <x:c r="E7" s="81" t="str">
        <x:v>ONP</x:v>
      </x:c>
      <x:c r="F7" s="81" t="str">
        <x:v>AFP Guía</x:v>
      </x:c>
      <x:c r="G7" s="79" t="n">
        <x:v>0</x:v>
      </x:c>
      <x:c r="H7" s="79" t="n">
        <x:v>0</x:v>
      </x:c>
      <x:c r="I7" s="66" t="n">
        <x:v>0</x:v>
      </x:c>
      <x:c r="J7" s="72" t="str">
        <x:f>IF(B7="","Pendiente",IF(AND(B7&gt;0,C7&gt;=1,C7&lt;=30,G7&gt;=0,H7&gt;=0,I7&gt;=0),"Válido","Revisar"))</x:f>
        <x:v>Válido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15" hidden="0" customHeight="1">
      <x:c r="A8" s="65" t="str">
        <x:v>Caso 3</x:v>
      </x:c>
      <x:c r="B8" s="66" t="n">
        <x:v>3000</x:v>
      </x:c>
      <x:c r="C8" s="79" t="n">
        <x:v>30</x:v>
      </x:c>
      <x:c r="D8" s="81" t="str">
        <x:v>Sí</x:v>
      </x:c>
      <x:c r="E8" s="81" t="str">
        <x:v>AFP</x:v>
      </x:c>
      <x:c r="F8" s="81" t="str">
        <x:v>AFP Guía</x:v>
      </x:c>
      <x:c r="G8" s="79" t="n">
        <x:v>4</x:v>
      </x:c>
      <x:c r="H8" s="79" t="n">
        <x:v>4</x:v>
      </x:c>
      <x:c r="I8" s="66" t="n">
        <x:v>200</x:v>
      </x:c>
      <x:c r="J8" s="72" t="str">
        <x:f>IF(B8="","Pendiente",IF(AND(B8&gt;0,C8&gt;=1,C8&lt;=30,G8&gt;=0,H8&gt;=0,I8&gt;=0),"Válido","Revisar"))</x:f>
        <x:v>Válido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15" hidden="0" customHeight="1">
      <x:c r="A9" s="65" t="str">
        <x:v>Caso 4</x:v>
      </x:c>
      <x:c r="B9" s="66" t="n">
        <x:v>4200</x:v>
      </x:c>
      <x:c r="C9" s="79" t="n">
        <x:v>24</x:v>
      </x:c>
      <x:c r="D9" s="81" t="str">
        <x:v>Sí</x:v>
      </x:c>
      <x:c r="E9" s="81" t="str">
        <x:v>AFP</x:v>
      </x:c>
      <x:c r="F9" s="81" t="str">
        <x:v>AFP Guía</x:v>
      </x:c>
      <x:c r="G9" s="79" t="n">
        <x:v>2</x:v>
      </x:c>
      <x:c r="H9" s="79" t="n">
        <x:v>2</x:v>
      </x:c>
      <x:c r="I9" s="66" t="n">
        <x:v>100</x:v>
      </x:c>
      <x:c r="J9" s="72" t="str">
        <x:f>IF(B9="","Pendiente",IF(AND(B9&gt;0,C9&gt;=1,C9&lt;=30,G9&gt;=0,H9&gt;=0,I9&gt;=0),"Válido","Revisar"))</x:f>
        <x:v>Válido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15" hidden="0" customHeight="1">
      <x:c r="A10" s="65" t="str">
        <x:v>Caso propio 1</x:v>
      </x:c>
      <x:c r="B10" s="161" t="n">
        <x:v>1600</x:v>
      </x:c>
      <x:c r="C10" s="79" t="n">
        <x:v>30</x:v>
      </x:c>
      <x:c r="D10" s="81" t="str">
        <x:v>No</x:v>
      </x:c>
      <x:c r="E10" s="81" t="str">
        <x:v>ONP</x:v>
      </x:c>
      <x:c r="F10" s="81" t="str">
        <x:v>AFP Guía</x:v>
      </x:c>
      <x:c r="G10" s="79" t="n">
        <x:v>0</x:v>
      </x:c>
      <x:c r="H10" s="79" t="n">
        <x:v>0</x:v>
      </x:c>
      <x:c r="I10" s="161" t="n">
        <x:v>0</x:v>
      </x:c>
      <x:c r="J10" s="72" t="str">
        <x:f>IF(B10="","Pendiente",IF(AND(B10&gt;0,C10&gt;=1,C10&lt;=30,G10&gt;=0,H10&gt;=0,I10&gt;=0),"Válido","Revisar"))</x:f>
        <x:v>Válido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15" hidden="0" customHeight="1">
      <x:c r="A11" s="65" t="str">
        <x:v>Caso propio 2</x:v>
      </x:c>
      <x:c r="B11" s="161" t="n">
        <x:v>4000</x:v>
      </x:c>
      <x:c r="C11" s="79" t="n">
        <x:v>30</x:v>
      </x:c>
      <x:c r="D11" s="81" t="str">
        <x:v>No</x:v>
      </x:c>
      <x:c r="E11" s="81" t="str">
        <x:v>AFP</x:v>
      </x:c>
      <x:c r="F11" s="81" t="str">
        <x:v>Habitat</x:v>
      </x:c>
      <x:c r="G11" s="79" t="n">
        <x:v>0</x:v>
      </x:c>
      <x:c r="H11" s="79" t="n">
        <x:v>0</x:v>
      </x:c>
      <x:c r="I11" s="161" t="n">
        <x:v>0</x:v>
      </x:c>
      <x:c r="J11" s="72" t="str">
        <x:f>IF(B11="","Pendiente",IF(AND(B11&gt;0,C11&gt;=1,C11&lt;=30,G11&gt;=0,H11&gt;=0,I11&gt;=0),"Válido","Revisar"))</x:f>
        <x:v>Válido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10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24" hidden="0" customHeight="1">
      <x:c r="A13" s="103" t="str">
        <x:v>2. RESULTADOS CALCULADOS</x:v>
      </x:c>
      <x:c r="B13" s="104" t="str"/>
      <x:c r="C13" s="104" t="str"/>
      <x:c r="D13" s="104" t="str"/>
      <x:c r="E13" s="104" t="str"/>
      <x:c r="F13" s="104" t="str"/>
      <x:c r="G13" s="104" t="str"/>
      <x:c r="H13" s="104" t="str"/>
      <x:c r="I13" s="104" t="str"/>
      <x:c r="J13" s="104" t="str"/>
      <x:c r="K13" s="104" t="str"/>
      <x:c r="L13" s="104" t="str"/>
      <x:c r="M13" s="104" t="str"/>
      <x:c r="N13" s="104" t="str"/>
      <x:c r="O13" s="106" t="str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22" hidden="0" customHeight="1">
      <x:c r="A14" s="107" t="str">
        <x:v>Caso</x:v>
      </x:c>
      <x:c r="B14" s="107" t="str">
        <x:v>Sueldo</x:v>
      </x:c>
      <x:c r="C14" s="107" t="str">
        <x:v>Asignación</x:v>
      </x:c>
      <x:c r="D14" s="107" t="str">
        <x:v>HE 25%</x:v>
      </x:c>
      <x:c r="E14" s="107" t="str">
        <x:v>HE 35%</x:v>
      </x:c>
      <x:c r="F14" s="107" t="str">
        <x:v>Ingresos</x:v>
      </x:c>
      <x:c r="G14" s="107" t="str">
        <x:v>ONP</x:v>
      </x:c>
      <x:c r="H14" s="107" t="str">
        <x:v>AFP fondo</x:v>
      </x:c>
      <x:c r="I14" s="107" t="str">
        <x:v>AFP comisión</x:v>
      </x:c>
      <x:c r="J14" s="107" t="str">
        <x:v>AFP seguro</x:v>
      </x:c>
      <x:c r="K14" s="107" t="str">
        <x:v>Adelanto</x:v>
      </x:c>
      <x:c r="L14" s="107" t="str">
        <x:v>Descuentos</x:v>
      </x:c>
      <x:c r="M14" s="107" t="str">
        <x:v>Neto</x:v>
      </x:c>
      <x:c r="N14" s="107" t="str">
        <x:v>EsSalud</x:v>
      </x:c>
      <x:c r="O14" s="107" t="str">
        <x:v>Costo empresa</x:v>
      </x:c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15" hidden="0" customHeight="1">
      <x:c r="A15" s="65" t="str">
        <x:f>A6</x:f>
        <x:v>Caso 1</x:v>
      </x:c>
      <x:c r="B15" s="70" t="n">
        <x:f>IF($J6&lt;&gt;"Válido","",ROUND($B6/30*$C6,2))</x:f>
        <x:v>2500</x:v>
      </x:c>
      <x:c r="C15" s="70" t="n">
        <x:f>IF($J6&lt;&gt;"Válido","",IF($D6="Sí",ROUND('Parámetros'!$B$6*'Parámetros'!$B$7,2),0))</x:f>
        <x:v>0</x:v>
      </x:c>
      <x:c r="D15" s="70" t="n">
        <x:f>IF($J6&lt;&gt;"Válido","",ROUND(($B6/30/8)*(1+'Parámetros'!$B$10)*$G6,2))</x:f>
        <x:v>0</x:v>
      </x:c>
      <x:c r="E15" s="70" t="n">
        <x:f>IF($J6&lt;&gt;"Válido","",ROUND(($B6/30/8)*(1+'Parámetros'!$B$11)*$H6,2))</x:f>
        <x:v>0</x:v>
      </x:c>
      <x:c r="F15" s="70" t="n">
        <x:f>IF($J6&lt;&gt;"Válido","",ROUND(SUM(B15:E15),2))</x:f>
        <x:v>2500</x:v>
      </x:c>
      <x:c r="G15" s="70" t="n">
        <x:f>IF($J6&lt;&gt;"Válido","",IF($E6="ONP",ROUND($F15*'Parámetros'!$B$8,2),0))</x:f>
        <x:v>325</x:v>
      </x:c>
      <x:c r="H15" s="70" t="n">
        <x:f>IF($J6&lt;&gt;"Válido","",IF($E6="AFP",ROUND($F15*IF($F6="AFP Guía",'Parámetros'!$B$12,0.10),2),0))</x:f>
        <x:v>0</x:v>
      </x:c>
      <x:c r="I15" s="70" t="n">
        <x:f>IF($J6&lt;&gt;"Válido","",IF($E6="AFP",ROUND($F15*IF($F6="AFP Guía",'Parámetros'!$B$13,IF($F6="Habitat",'Parámetros'!$C$18,IF($F6="Integra",'Parámetros'!$C$19,IF($F6="Prima",'Parámetros'!$C$20,'Parámetros'!$C$21)))),2),0))</x:f>
        <x:v>0</x:v>
      </x:c>
      <x:c r="J15" s="70" t="n">
        <x:f>IF($J6&lt;&gt;"Válido","",IF($E6="AFP",ROUND($F15*IF($F6="AFP Guía",'Parámetros'!$B$14,'Parámetros'!$D$18),2),0))</x:f>
        <x:v>0</x:v>
      </x:c>
      <x:c r="K15" s="70" t="n">
        <x:f>IF($J6&lt;&gt;"Válido","",ROUND($I6,2))</x:f>
        <x:v>0</x:v>
      </x:c>
      <x:c r="L15" s="70" t="n">
        <x:f>IF($J6&lt;&gt;"Válido","",ROUND(SUM(G15:K15),2))</x:f>
        <x:v>325</x:v>
      </x:c>
      <x:c r="M15" s="86" t="n">
        <x:f>IF($J6&lt;&gt;"Válido","",ROUND(F15-L15,2))</x:f>
        <x:v>2175</x:v>
      </x:c>
      <x:c r="N15" s="70" t="n">
        <x:f>IF($J6&lt;&gt;"Válido","",ROUND(F15*'Parámetros'!$B$9,2))</x:f>
        <x:v>225</x:v>
      </x:c>
      <x:c r="O15" s="70" t="n">
        <x:f>IF($J6&lt;&gt;"Válido","",ROUND(F15+N15,2))</x:f>
        <x:v>2725</x:v>
      </x:c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15" hidden="0" customHeight="1">
      <x:c r="A16" s="65" t="str">
        <x:f>A7</x:f>
        <x:v>Caso 2</x:v>
      </x:c>
      <x:c r="B16" s="70" t="n">
        <x:f>IF($J7&lt;&gt;"Válido","",ROUND($B7/30*$C7,2))</x:f>
        <x:v>1620</x:v>
      </x:c>
      <x:c r="C16" s="70" t="n">
        <x:f>IF($J7&lt;&gt;"Válido","",IF($D7="Sí",ROUND('Parámetros'!$B$6*'Parámetros'!$B$7,2),0))</x:f>
        <x:v>123</x:v>
      </x:c>
      <x:c r="D16" s="70" t="n">
        <x:f>IF($J7&lt;&gt;"Válido","",ROUND(($B7/30/8)*(1+'Parámetros'!$B$10)*$G7,2))</x:f>
        <x:v>0</x:v>
      </x:c>
      <x:c r="E16" s="70" t="n">
        <x:f>IF($J7&lt;&gt;"Válido","",ROUND(($B7/30/8)*(1+'Parámetros'!$B$11)*$H7,2))</x:f>
        <x:v>0</x:v>
      </x:c>
      <x:c r="F16" s="70" t="n">
        <x:f>IF($J7&lt;&gt;"Válido","",ROUND(SUM(B16:E16),2))</x:f>
        <x:v>1743</x:v>
      </x:c>
      <x:c r="G16" s="70" t="n">
        <x:f>IF($J7&lt;&gt;"Válido","",IF($E7="ONP",ROUND($F16*'Parámetros'!$B$8,2),0))</x:f>
        <x:v>226.59</x:v>
      </x:c>
      <x:c r="H16" s="70" t="n">
        <x:f>IF($J7&lt;&gt;"Válido","",IF($E7="AFP",ROUND($F16*IF($F7="AFP Guía",'Parámetros'!$B$12,0.10),2),0))</x:f>
        <x:v>0</x:v>
      </x:c>
      <x:c r="I16" s="70" t="n">
        <x:f>IF($J7&lt;&gt;"Válido","",IF($E7="AFP",ROUND($F16*IF($F7="AFP Guía",'Parámetros'!$B$13,IF($F7="Habitat",'Parámetros'!$C$18,IF($F7="Integra",'Parámetros'!$C$19,IF($F7="Prima",'Parámetros'!$C$20,'Parámetros'!$C$21)))),2),0))</x:f>
        <x:v>0</x:v>
      </x:c>
      <x:c r="J16" s="70" t="n">
        <x:f>IF($J7&lt;&gt;"Válido","",IF($E7="AFP",ROUND($F16*IF($F7="AFP Guía",'Parámetros'!$B$14,'Parámetros'!$D$18),2),0))</x:f>
        <x:v>0</x:v>
      </x:c>
      <x:c r="K16" s="70" t="n">
        <x:f>IF($J7&lt;&gt;"Válido","",ROUND($I7,2))</x:f>
        <x:v>0</x:v>
      </x:c>
      <x:c r="L16" s="70" t="n">
        <x:f>IF($J7&lt;&gt;"Válido","",ROUND(SUM(G16:K16),2))</x:f>
        <x:v>226.59</x:v>
      </x:c>
      <x:c r="M16" s="86" t="n">
        <x:f>IF($J7&lt;&gt;"Válido","",ROUND(F16-L16,2))</x:f>
        <x:v>1516.41</x:v>
      </x:c>
      <x:c r="N16" s="70" t="n">
        <x:f>IF($J7&lt;&gt;"Válido","",ROUND(F16*'Parámetros'!$B$9,2))</x:f>
        <x:v>156.87</x:v>
      </x:c>
      <x:c r="O16" s="70" t="n">
        <x:f>IF($J7&lt;&gt;"Válido","",ROUND(F16+N16,2))</x:f>
        <x:v>1899.87</x:v>
      </x:c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15" hidden="0" customHeight="1">
      <x:c r="A17" s="65" t="str">
        <x:f>A8</x:f>
        <x:v>Caso 3</x:v>
      </x:c>
      <x:c r="B17" s="70" t="n">
        <x:f>IF($J8&lt;&gt;"Válido","",ROUND($B8/30*$C8,2))</x:f>
        <x:v>3000</x:v>
      </x:c>
      <x:c r="C17" s="70" t="n">
        <x:f>IF($J8&lt;&gt;"Válido","",IF($D8="Sí",ROUND('Parámetros'!$B$6*'Parámetros'!$B$7,2),0))</x:f>
        <x:v>123</x:v>
      </x:c>
      <x:c r="D17" s="70" t="n">
        <x:f>IF($J8&lt;&gt;"Válido","",ROUND(($B8/30/8)*(1+'Parámetros'!$B$10)*$G8,2))</x:f>
        <x:v>62.5</x:v>
      </x:c>
      <x:c r="E17" s="70" t="n">
        <x:f>IF($J8&lt;&gt;"Válido","",ROUND(($B8/30/8)*(1+'Parámetros'!$B$11)*$H8,2))</x:f>
        <x:v>67.5</x:v>
      </x:c>
      <x:c r="F17" s="70" t="n">
        <x:f>IF($J8&lt;&gt;"Válido","",ROUND(SUM(B17:E17),2))</x:f>
        <x:v>3253</x:v>
      </x:c>
      <x:c r="G17" s="70" t="n">
        <x:f>IF($J8&lt;&gt;"Válido","",IF($E8="ONP",ROUND($F17*'Parámetros'!$B$8,2),0))</x:f>
        <x:v>0</x:v>
      </x:c>
      <x:c r="H17" s="70" t="n">
        <x:f>IF($J8&lt;&gt;"Válido","",IF($E8="AFP",ROUND($F17*IF($F8="AFP Guía",'Parámetros'!$B$12,0.10),2),0))</x:f>
        <x:v>325.3</x:v>
      </x:c>
      <x:c r="I17" s="70" t="n">
        <x:f>IF($J8&lt;&gt;"Válido","",IF($E8="AFP",ROUND($F17*IF($F8="AFP Guía",'Parámetros'!$B$13,IF($F8="Habitat",'Parámetros'!$C$18,IF($F8="Integra",'Parámetros'!$C$19,IF($F8="Prima",'Parámetros'!$C$20,'Parámetros'!$C$21)))),2),0))</x:f>
        <x:v>52.05</x:v>
      </x:c>
      <x:c r="J17" s="70" t="n">
        <x:f>IF($J8&lt;&gt;"Válido","",IF($E8="AFP",ROUND($F17*IF($F8="AFP Guía",'Parámetros'!$B$14,'Parámetros'!$D$18),2),0))</x:f>
        <x:v>43.92</x:v>
      </x:c>
      <x:c r="K17" s="70" t="n">
        <x:f>IF($J8&lt;&gt;"Válido","",ROUND($I8,2))</x:f>
        <x:v>200</x:v>
      </x:c>
      <x:c r="L17" s="70" t="n">
        <x:f>IF($J8&lt;&gt;"Válido","",ROUND(SUM(G17:K17),2))</x:f>
        <x:v>621.27</x:v>
      </x:c>
      <x:c r="M17" s="86" t="n">
        <x:f>IF($J8&lt;&gt;"Válido","",ROUND(F17-L17,2))</x:f>
        <x:v>2631.73</x:v>
      </x:c>
      <x:c r="N17" s="70" t="n">
        <x:f>IF($J8&lt;&gt;"Válido","",ROUND(F17*'Parámetros'!$B$9,2))</x:f>
        <x:v>292.77</x:v>
      </x:c>
      <x:c r="O17" s="70" t="n">
        <x:f>IF($J8&lt;&gt;"Válido","",ROUND(F17+N17,2))</x:f>
        <x:v>3545.77</x:v>
      </x:c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15" hidden="0" customHeight="1">
      <x:c r="A18" s="65" t="str">
        <x:f>A9</x:f>
        <x:v>Caso 4</x:v>
      </x:c>
      <x:c r="B18" s="70" t="n">
        <x:f>IF($J9&lt;&gt;"Válido","",ROUND($B9/30*$C9,2))</x:f>
        <x:v>3360</x:v>
      </x:c>
      <x:c r="C18" s="70" t="n">
        <x:f>IF($J9&lt;&gt;"Válido","",IF($D9="Sí",ROUND('Parámetros'!$B$6*'Parámetros'!$B$7,2),0))</x:f>
        <x:v>123</x:v>
      </x:c>
      <x:c r="D18" s="70" t="n">
        <x:f>IF($J9&lt;&gt;"Válido","",ROUND(($B9/30/8)*(1+'Parámetros'!$B$10)*$G9,2))</x:f>
        <x:v>43.75</x:v>
      </x:c>
      <x:c r="E18" s="70" t="n">
        <x:f>IF($J9&lt;&gt;"Válido","",ROUND(($B9/30/8)*(1+'Parámetros'!$B$11)*$H9,2))</x:f>
        <x:v>47.25</x:v>
      </x:c>
      <x:c r="F18" s="70" t="n">
        <x:f>IF($J9&lt;&gt;"Válido","",ROUND(SUM(B18:E18),2))</x:f>
        <x:v>3574</x:v>
      </x:c>
      <x:c r="G18" s="70" t="n">
        <x:f>IF($J9&lt;&gt;"Válido","",IF($E9="ONP",ROUND($F18*'Parámetros'!$B$8,2),0))</x:f>
        <x:v>0</x:v>
      </x:c>
      <x:c r="H18" s="70" t="n">
        <x:f>IF($J9&lt;&gt;"Válido","",IF($E9="AFP",ROUND($F18*IF($F9="AFP Guía",'Parámetros'!$B$12,0.10),2),0))</x:f>
        <x:v>357.4</x:v>
      </x:c>
      <x:c r="I18" s="70" t="n">
        <x:f>IF($J9&lt;&gt;"Válido","",IF($E9="AFP",ROUND($F18*IF($F9="AFP Guía",'Parámetros'!$B$13,IF($F9="Habitat",'Parámetros'!$C$18,IF($F9="Integra",'Parámetros'!$C$19,IF($F9="Prima",'Parámetros'!$C$20,'Parámetros'!$C$21)))),2),0))</x:f>
        <x:v>57.18</x:v>
      </x:c>
      <x:c r="J18" s="70" t="n">
        <x:f>IF($J9&lt;&gt;"Válido","",IF($E9="AFP",ROUND($F18*IF($F9="AFP Guía",'Parámetros'!$B$14,'Parámetros'!$D$18),2),0))</x:f>
        <x:v>48.25</x:v>
      </x:c>
      <x:c r="K18" s="70" t="n">
        <x:f>IF($J9&lt;&gt;"Válido","",ROUND($I9,2))</x:f>
        <x:v>100</x:v>
      </x:c>
      <x:c r="L18" s="70" t="n">
        <x:f>IF($J9&lt;&gt;"Válido","",ROUND(SUM(G18:K18),2))</x:f>
        <x:v>562.83</x:v>
      </x:c>
      <x:c r="M18" s="86" t="n">
        <x:f>IF($J9&lt;&gt;"Válido","",ROUND(F18-L18,2))</x:f>
        <x:v>3011.17</x:v>
      </x:c>
      <x:c r="N18" s="70" t="n">
        <x:f>IF($J9&lt;&gt;"Válido","",ROUND(F18*'Parámetros'!$B$9,2))</x:f>
        <x:v>321.66</x:v>
      </x:c>
      <x:c r="O18" s="70" t="n">
        <x:f>IF($J9&lt;&gt;"Válido","",ROUND(F18+N18,2))</x:f>
        <x:v>3895.66</x:v>
      </x:c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15" hidden="0" customHeight="1">
      <x:c r="A19" s="65" t="str">
        <x:f>A10</x:f>
        <x:v>Caso propio 1</x:v>
      </x:c>
      <x:c r="B19" s="70" t="n">
        <x:f>IF($J10&lt;&gt;"Válido","",ROUND($B10/30*$C10,2))</x:f>
        <x:v>1600</x:v>
      </x:c>
      <x:c r="C19" s="70" t="n">
        <x:f>IF($J10&lt;&gt;"Válido","",IF($D10="Sí",ROUND('Parámetros'!$B$6*'Parámetros'!$B$7,2),0))</x:f>
        <x:v>0</x:v>
      </x:c>
      <x:c r="D19" s="70" t="n">
        <x:f>IF($J10&lt;&gt;"Válido","",ROUND(($B10/30/8)*(1+'Parámetros'!$B$10)*$G10,2))</x:f>
        <x:v>0</x:v>
      </x:c>
      <x:c r="E19" s="70" t="n">
        <x:f>IF($J10&lt;&gt;"Válido","",ROUND(($B10/30/8)*(1+'Parámetros'!$B$11)*$H10,2))</x:f>
        <x:v>0</x:v>
      </x:c>
      <x:c r="F19" s="70" t="n">
        <x:f>IF($J10&lt;&gt;"Válido","",ROUND(SUM(B19:E19),2))</x:f>
        <x:v>1600</x:v>
      </x:c>
      <x:c r="G19" s="70" t="n">
        <x:f>IF($J10&lt;&gt;"Válido","",IF($E10="ONP",ROUND($F19*'Parámetros'!$B$8,2),0))</x:f>
        <x:v>208</x:v>
      </x:c>
      <x:c r="H19" s="70" t="n">
        <x:f>IF($J10&lt;&gt;"Válido","",IF($E10="AFP",ROUND($F19*IF($F10="AFP Guía",'Parámetros'!$B$12,0.10),2),0))</x:f>
        <x:v>0</x:v>
      </x:c>
      <x:c r="I19" s="70" t="n">
        <x:f>IF($J10&lt;&gt;"Válido","",IF($E10="AFP",ROUND($F19*IF($F10="AFP Guía",'Parámetros'!$B$13,IF($F10="Habitat",'Parámetros'!$C$18,IF($F10="Integra",'Parámetros'!$C$19,IF($F10="Prima",'Parámetros'!$C$20,'Parámetros'!$C$21)))),2),0))</x:f>
        <x:v>0</x:v>
      </x:c>
      <x:c r="J19" s="70" t="n">
        <x:f>IF($J10&lt;&gt;"Válido","",IF($E10="AFP",ROUND($F19*IF($F10="AFP Guía",'Parámetros'!$B$14,'Parámetros'!$D$18),2),0))</x:f>
        <x:v>0</x:v>
      </x:c>
      <x:c r="K19" s="70" t="n">
        <x:f>IF($J10&lt;&gt;"Válido","",ROUND($I10,2))</x:f>
        <x:v>0</x:v>
      </x:c>
      <x:c r="L19" s="70" t="n">
        <x:f>IF($J10&lt;&gt;"Válido","",ROUND(SUM(G19:K19),2))</x:f>
        <x:v>208</x:v>
      </x:c>
      <x:c r="M19" s="86" t="n">
        <x:f>IF($J10&lt;&gt;"Válido","",ROUND(F19-L19,2))</x:f>
        <x:v>1392</x:v>
      </x:c>
      <x:c r="N19" s="70" t="n">
        <x:f>IF($J10&lt;&gt;"Válido","",ROUND(F19*'Parámetros'!$B$9,2))</x:f>
        <x:v>144</x:v>
      </x:c>
      <x:c r="O19" s="70" t="n">
        <x:f>IF($J10&lt;&gt;"Válido","",ROUND(F19+N19,2))</x:f>
        <x:v>1744</x:v>
      </x:c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15" hidden="0" customHeight="1">
      <x:c r="A20" s="65" t="str">
        <x:f>A11</x:f>
        <x:v>Caso propio 2</x:v>
      </x:c>
      <x:c r="B20" s="70" t="n">
        <x:f>IF($J11&lt;&gt;"Válido","",ROUND($B11/30*$C11,2))</x:f>
        <x:v>4000</x:v>
      </x:c>
      <x:c r="C20" s="70" t="n">
        <x:f>IF($J11&lt;&gt;"Válido","",IF($D11="Sí",ROUND('Parámetros'!$B$6*'Parámetros'!$B$7,2),0))</x:f>
        <x:v>0</x:v>
      </x:c>
      <x:c r="D20" s="70" t="n">
        <x:f>IF($J11&lt;&gt;"Válido","",ROUND(($B11/30/8)*(1+'Parámetros'!$B$10)*$G11,2))</x:f>
        <x:v>0</x:v>
      </x:c>
      <x:c r="E20" s="70" t="n">
        <x:f>IF($J11&lt;&gt;"Válido","",ROUND(($B11/30/8)*(1+'Parámetros'!$B$11)*$H11,2))</x:f>
        <x:v>0</x:v>
      </x:c>
      <x:c r="F20" s="70" t="n">
        <x:f>IF($J11&lt;&gt;"Válido","",ROUND(SUM(B20:E20),2))</x:f>
        <x:v>4000</x:v>
      </x:c>
      <x:c r="G20" s="70" t="n">
        <x:f>IF($J11&lt;&gt;"Válido","",IF($E11="ONP",ROUND($F20*'Parámetros'!$B$8,2),0))</x:f>
        <x:v>0</x:v>
      </x:c>
      <x:c r="H20" s="70" t="n">
        <x:f>IF($J11&lt;&gt;"Válido","",IF($E11="AFP",ROUND($F20*IF($F11="AFP Guía",'Parámetros'!$B$12,0.10),2),0))</x:f>
        <x:v>400</x:v>
      </x:c>
      <x:c r="I20" s="70" t="n">
        <x:f>IF($J11&lt;&gt;"Válido","",IF($E11="AFP",ROUND($F20*IF($F11="AFP Guía",'Parámetros'!$B$13,IF($F11="Habitat",'Parámetros'!$C$18,IF($F11="Integra",'Parámetros'!$C$19,IF($F11="Prima",'Parámetros'!$C$20,'Parámetros'!$C$21)))),2),0))</x:f>
        <x:v>58.8</x:v>
      </x:c>
      <x:c r="J20" s="70" t="n">
        <x:f>IF($J11&lt;&gt;"Válido","",IF($E11="AFP",ROUND($F20*IF($F11="AFP Guía",'Parámetros'!$B$14,'Parámetros'!$D$18),2),0))</x:f>
        <x:v>54.8</x:v>
      </x:c>
      <x:c r="K20" s="70" t="n">
        <x:f>IF($J11&lt;&gt;"Válido","",ROUND($I11,2))</x:f>
        <x:v>0</x:v>
      </x:c>
      <x:c r="L20" s="70" t="n">
        <x:f>IF($J11&lt;&gt;"Válido","",ROUND(SUM(G20:K20),2))</x:f>
        <x:v>513.6</x:v>
      </x:c>
      <x:c r="M20" s="86" t="n">
        <x:f>IF($J11&lt;&gt;"Válido","",ROUND(F20-L20,2))</x:f>
        <x:v>3486.4</x:v>
      </x:c>
      <x:c r="N20" s="70" t="n">
        <x:f>IF($J11&lt;&gt;"Válido","",ROUND(F20*'Parámetros'!$B$9,2))</x:f>
        <x:v>360</x:v>
      </x:c>
      <x:c r="O20" s="70" t="n">
        <x:f>IF($J11&lt;&gt;"Válido","",ROUND(F20+N20,2))</x:f>
        <x:v>4360</x:v>
      </x:c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0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4" hidden="0" customHeight="1">
      <x:c r="A22" s="103" t="str">
        <x:v>3. CONTROL CRUZADO: GUÍA, EXCEL Y APLICACIÓN</x:v>
      </x:c>
      <x:c r="B22" s="104"/>
      <x:c r="C22" s="104"/>
      <x:c r="D22" s="104"/>
      <x:c r="E22" s="104"/>
      <x:c r="F22" s="106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2" hidden="0" customHeight="1">
      <x:c r="A23" s="107" t="str">
        <x:v>Caso</x:v>
      </x:c>
      <x:c r="B23" s="107" t="str">
        <x:v>Respuesta guía</x:v>
      </x:c>
      <x:c r="C23" s="107" t="str">
        <x:v>Neto Excel</x:v>
      </x:c>
      <x:c r="D23" s="107" t="str">
        <x:v>Diferencia</x:v>
      </x:c>
      <x:c r="E23" s="107" t="str">
        <x:v>Neto App</x:v>
      </x:c>
      <x:c r="F23" s="107" t="str">
        <x:v>App vs Excel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 hidden="0" customHeight="1">
      <x:c r="A24" s="65" t="str">
        <x:v>Caso 1</x:v>
      </x:c>
      <x:c r="B24" s="70" t="n">
        <x:v>2175</x:v>
      </x:c>
      <x:c r="C24" s="70" t="n">
        <x:f>M15</x:f>
        <x:v>2175</x:v>
      </x:c>
      <x:c r="D24" s="70" t="n">
        <x:f>IF(OR(B24="",C24=""),"",ROUND(C24-B24,2))</x:f>
        <x:v>0</x:v>
      </x:c>
      <x:c r="E24" s="66" t="n">
        <x:v>2175</x:v>
      </x:c>
      <x:c r="F24" s="70" t="n">
        <x:f>ROUND(E24-C24,2)</x:f>
        <x:v>0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 hidden="0" customHeight="1">
      <x:c r="A25" s="65" t="str">
        <x:v>Caso 2</x:v>
      </x:c>
      <x:c r="B25" s="70" t="n">
        <x:v>1516.41</x:v>
      </x:c>
      <x:c r="C25" s="70" t="n">
        <x:f>M16</x:f>
        <x:v>1516.41</x:v>
      </x:c>
      <x:c r="D25" s="70" t="n">
        <x:f>IF(OR(B25="",C25=""),"",ROUND(C25-B25,2))</x:f>
        <x:v>0</x:v>
      </x:c>
      <x:c r="E25" s="66" t="n">
        <x:v>1516.41</x:v>
      </x:c>
      <x:c r="F25" s="70" t="n">
        <x:f>ROUND(E25-C25,2)</x:f>
        <x:v>0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 hidden="0" customHeight="1">
      <x:c r="A26" s="65" t="str">
        <x:v>Caso 3</x:v>
      </x:c>
      <x:c r="B26" s="70" t="n">
        <x:v>2631.73</x:v>
      </x:c>
      <x:c r="C26" s="70" t="n">
        <x:f>M17</x:f>
        <x:v>2631.73</x:v>
      </x:c>
      <x:c r="D26" s="70" t="n">
        <x:f>IF(OR(B26="",C26=""),"",ROUND(C26-B26,2))</x:f>
        <x:v>0</x:v>
      </x:c>
      <x:c r="E26" s="66" t="n">
        <x:v>2631.73</x:v>
      </x:c>
      <x:c r="F26" s="70" t="n">
        <x:f>ROUND(E26-C26,2)</x:f>
        <x:v>0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 hidden="0" customHeight="1">
      <x:c r="A27" s="65" t="str">
        <x:v>Caso 4</x:v>
      </x:c>
      <x:c r="B27" s="70"/>
      <x:c r="C27" s="70" t="n">
        <x:f>M18</x:f>
        <x:v>3011.17</x:v>
      </x:c>
      <x:c r="D27" s="70" t="str">
        <x:f>IF(OR(B27="",C27=""),"",ROUND(C27-B27,2))</x:f>
      </x:c>
      <x:c r="E27" s="66" t="n">
        <x:v>3011.17</x:v>
      </x:c>
      <x:c r="F27" s="70" t="n">
        <x:f>ROUND(E27-C27,2)</x:f>
        <x:v>0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 hidden="0" customHeight="1">
      <x:c r="A28" s="65" t="str">
        <x:v>Caso propio 1</x:v>
      </x:c>
      <x:c r="B28" s="70"/>
      <x:c r="C28" s="70" t="n">
        <x:f>M19</x:f>
        <x:v>1392</x:v>
      </x:c>
      <x:c r="D28" s="70" t="str">
        <x:f>IF(OR(B28="",C28=""),"",ROUND(C28-B28,2))</x:f>
      </x:c>
      <x:c r="E28" s="66" t="n">
        <x:v>1392</x:v>
      </x:c>
      <x:c r="F28" s="70" t="n">
        <x:f>ROUND(E28-C28,2)</x:f>
        <x:v>0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 hidden="0" customHeight="1">
      <x:c r="A29" s="65" t="str">
        <x:v>Caso propio 2</x:v>
      </x:c>
      <x:c r="B29" s="70"/>
      <x:c r="C29" s="70" t="n">
        <x:f>M20</x:f>
        <x:v>3486.4</x:v>
      </x:c>
      <x:c r="D29" s="70" t="str">
        <x:f>IF(OR(B29="",C29=""),"",ROUND(C29-B29,2))</x:f>
      </x:c>
      <x:c r="E29" s="66" t="n">
        <x:v>3486.4</x:v>
      </x:c>
      <x:c r="F29" s="70" t="n">
        <x:f>ROUND(E29-C29,2)</x:f>
        <x:v>0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0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24" hidden="0" customHeight="1">
      <x:c r="A31" s="103" t="str">
        <x:v>4. CASOS PROPIOS CON OFERTAS REALES</x:v>
      </x:c>
      <x:c r="B31" s="104"/>
      <x:c r="C31" s="104"/>
      <x:c r="D31" s="104"/>
      <x:c r="E31" s="104"/>
      <x:c r="F31" s="106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22" hidden="0" customHeight="1">
      <x:c r="A32" s="107" t="str">
        <x:v>Caso propio</x:v>
      </x:c>
      <x:c r="B32" s="107" t="str">
        <x:v>Puesto</x:v>
      </x:c>
      <x:c r="C32" s="107" t="str">
        <x:v>Empresa</x:v>
      </x:c>
      <x:c r="D32" s="107" t="str">
        <x:v>Sueldo</x:v>
      </x:c>
      <x:c r="E32" s="107" t="str">
        <x:v>Enlace</x:v>
      </x:c>
      <x:c r="F32" s="107" t="str">
        <x:v>Consulta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42" hidden="0" customHeight="1">
      <x:c r="A33" s="65" t="str">
        <x:v>Caso propio 1</x:v>
      </x:c>
      <x:c r="B33" s="81" t="str">
        <x:v>Desarrollador de Software</x:v>
      </x:c>
      <x:c r="C33" s="81" t="str">
        <x:v>TALENTE PERÚ MÁS</x:v>
      </x:c>
      <x:c r="D33" s="161" t="n">
        <x:v>1600</x:v>
      </x:c>
      <x:c r="E33" s="162" t="str">
        <x:v>https://pe.indeed.com/viewjob?jk=bc0c811308d08cf0</x:v>
      </x:c>
      <x:c r="F33" s="81" t="str">
        <x:v>25/10/2026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42" hidden="0" customHeight="1">
      <x:c r="A34" s="65" t="str">
        <x:v>Caso propio 2</x:v>
      </x:c>
      <x:c r="B34" s="81" t="str">
        <x:v>Desarrollador(a) Backend .NET</x:v>
      </x:c>
      <x:c r="C34" s="81" t="str">
        <x:v>Seidor Consulting Perú (Grupo Seidor)</x:v>
      </x:c>
      <x:c r="D34" s="161" t="n">
        <x:v>4000</x:v>
      </x:c>
      <x:c r="E34" s="162" t="str">
        <x:v>https://pe.indeed.com/viewjob?jk=8be345571aa1eab1</x:v>
      </x:c>
      <x:c r="F34" s="81" t="str">
        <x:v>25/10/2026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0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0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4" hidden="0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 ht="15" hidden="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 ht="10" hidden="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 ht="15" hidden="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 ht="15" hidden="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 ht="15" hidden="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 ht="15" hidden="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 ht="15" hidden="0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 ht="15" hidden="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  <x:row r="46" ht="15" hidden="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</x:row>
    <x:row r="47" ht="15" hidden="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</x:row>
    <x:row r="48" ht="15" hidden="0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</x:row>
    <x:row r="49" ht="15" hidden="0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</x:row>
    <x:row r="50" ht="15" hidden="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</x:row>
    <x:row r="51" ht="15" hidden="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</x:row>
    <x:row r="52" ht="15" hidden="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</x:row>
    <x:row r="53" ht="15" hidden="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</x:row>
    <x:row r="54" ht="15" hidden="0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 ht="10" hidden="0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 ht="15" hidden="0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</x:row>
    <x:row r="57" ht="15" hidden="0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</x:row>
    <x:row r="58" ht="15" hidden="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</x:row>
    <x:row r="59" ht="15" hidden="0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</x:row>
    <x:row r="60" ht="15" hidden="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</x:row>
    <x:row r="61" ht="15" hidden="0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</x:row>
    <x:row r="62" ht="15" hidden="0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</x:row>
    <x:row r="63" ht="15" hidden="0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</x:row>
    <x:row r="64" ht="15" hidden="0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</x:row>
    <x:row r="65" ht="15" hidden="0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</x:row>
    <x:row r="66" ht="15" hidden="0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</x:row>
    <x:row r="67" ht="15" hidden="0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</x:row>
    <x:row r="68" ht="15" hidden="0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</x:row>
    <x:row r="69" ht="15" hidden="0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</x:row>
    <x:row r="70" ht="15" hidden="0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</x:row>
    <x:row r="71" ht="10" hidden="0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</x:row>
    <x:row r="72" ht="15" hidden="0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</x:row>
  </x:sheetData>
  <x:mergeCells>
    <x:mergeCell ref="A2:O2"/>
    <x:mergeCell ref="A3:O3"/>
    <x:mergeCell ref="A4:J4"/>
    <x:mergeCell ref="A13:O13"/>
    <x:mergeCell ref="A22:F22"/>
    <x:mergeCell ref="A31:F31"/>
  </x:mergeCells>
  <x:dataValidations count="3">
    <x:dataValidation type="list" sqref="D6:D11">
      <x:formula1>"No,Sí"</x:formula1>
    </x:dataValidation>
    <x:dataValidation type="list" sqref="E6:E11">
      <x:formula1>"ONP,AFP"</x:formula1>
    </x:dataValidation>
    <x:dataValidation type="list" sqref="F6:F11">
      <x:formula1>"AFP Guía,Habitat,Integra,Prima,Profuturo"</x:formula1>
    </x:dataValidation>
  </x:dataValidations>
  <x:pageMargins left="0.7" right="0.7" top="0.75" bottom="0.75" header="0.3" footer="0.3"/>
  <x:legacyDrawing xmlns:r="http://schemas.openxmlformats.org/officeDocument/2006/relationships" r:id="R9a30004a27c247b3"/>
</x:worksheet>
</file>

<file path=xl/worksheets/sheet4.xml><?xml version="1.0" encoding="utf-8"?>
<x:worksheet xmlns:x="http://schemas.openxmlformats.org/spreadsheetml/2006/main">
  <x:sheetPr>
    <x:tabColor rgb="FFEF6C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22" hidden="0" customWidth="1"/>
    <x:col min="4" max="4" width="70" hidden="0" customWidth="1"/>
  </x:cols>
  <x:sheetData>
    <x:row r="1" ht="15" hidden="0" customHeight="1">
      <x:c r="A1" s="2"/>
      <x:c r="B1" s="2"/>
      <x:c r="C1" s="2"/>
      <x:c r="D1" s="2"/>
    </x:row>
    <x:row r="2" ht="21.600000381469727" hidden="0" customHeight="1">
      <x:c r="A2" s="5" t="str">
        <x:v>Explicación de los cálculos</x:v>
      </x:c>
      <x:c r="B2" s="4"/>
      <x:c r="C2" s="4"/>
      <x:c r="D2" s="4"/>
    </x:row>
    <x:row r="3" ht="15" hidden="0" customHeight="1">
      <x:c r="A3" s="6" t="str">
        <x:v>Use esta hoja solamente cuando necesite sustentar una fórmula.</x:v>
      </x:c>
      <x:c r="B3" s="6"/>
      <x:c r="C3" s="6"/>
      <x:c r="D3" s="6"/>
    </x:row>
    <x:row r="4" ht="24" hidden="0" customHeight="1">
      <x:c r="A4" s="103" t="str">
        <x:v>1. FÓRMULAS PRINCIPALES</x:v>
      </x:c>
      <x:c r="B4" s="104" t="str"/>
      <x:c r="C4" s="104" t="str"/>
      <x:c r="D4" s="106" t="str"/>
    </x:row>
    <x:row r="5" ht="22" hidden="0" customHeight="1">
      <x:c r="A5" s="107" t="str">
        <x:v>Concepto</x:v>
      </x:c>
      <x:c r="B5" s="107" t="str">
        <x:v>Fórmula</x:v>
      </x:c>
      <x:c r="C5" s="107" t="str">
        <x:v>Ejemplo</x:v>
      </x:c>
      <x:c r="D5" s="107" t="str">
        <x:v>Resultado</x:v>
      </x:c>
    </x:row>
    <x:row r="6" ht="15" hidden="0" customHeight="1">
      <x:c r="A6" s="65" t="str">
        <x:v>Sueldo computable</x:v>
      </x:c>
      <x:c r="B6" s="65" t="str">
        <x:v>Sueldo ÷ 30 × días</x:v>
      </x:c>
      <x:c r="C6" s="65" t="str">
        <x:v>2,500 ÷ 30 × 30</x:v>
      </x:c>
      <x:c r="D6" s="87" t="n">
        <x:f>'Casos'!B15</x:f>
        <x:v>2500</x:v>
      </x:c>
    </x:row>
    <x:row r="7" ht="15" hidden="0" customHeight="1">
      <x:c r="A7" s="65" t="str">
        <x:v>Asignación familiar</x:v>
      </x:c>
      <x:c r="B7" s="65" t="str">
        <x:v>RMV × 10%</x:v>
      </x:c>
      <x:c r="C7" s="65" t="str">
        <x:v>1,230 × 10%</x:v>
      </x:c>
      <x:c r="D7" s="87" t="n">
        <x:f>'Casos'!C16</x:f>
        <x:v>123</x:v>
      </x:c>
    </x:row>
    <x:row r="8" ht="15" hidden="0" customHeight="1">
      <x:c r="A8" s="65" t="str">
        <x:v>Valor hora</x:v>
      </x:c>
      <x:c r="B8" s="65" t="str">
        <x:v>Sueldo ÷ 30 ÷ 8</x:v>
      </x:c>
      <x:c r="C8" s="65" t="str">
        <x:v>3,000 ÷ 30 ÷ 8</x:v>
      </x:c>
      <x:c r="D8" s="87" t="n">
        <x:f>ROUND('Casos'!B8/30/8,2)</x:f>
        <x:v>12.5</x:v>
      </x:c>
    </x:row>
    <x:row r="9" ht="15" hidden="0" customHeight="1">
      <x:c r="A9" s="65" t="str">
        <x:v>Horas extras 25%</x:v>
      </x:c>
      <x:c r="B9" s="65" t="str">
        <x:v>Valor hora × 1.25 × horas</x:v>
      </x:c>
      <x:c r="C9" s="65" t="str">
        <x:v>12.50 × 1.25 × 4</x:v>
      </x:c>
      <x:c r="D9" s="87" t="n">
        <x:f>'Casos'!D17</x:f>
        <x:v>62.5</x:v>
      </x:c>
    </x:row>
    <x:row r="10" ht="15" hidden="0" customHeight="1">
      <x:c r="A10" s="65" t="str">
        <x:v>Horas extras 35%</x:v>
      </x:c>
      <x:c r="B10" s="65" t="str">
        <x:v>Valor hora × 1.35 × horas</x:v>
      </x:c>
      <x:c r="C10" s="65" t="str">
        <x:v>12.50 × 1.35 × 4</x:v>
      </x:c>
      <x:c r="D10" s="87" t="n">
        <x:f>'Casos'!E17</x:f>
        <x:v>67.5</x:v>
      </x:c>
    </x:row>
    <x:row r="11" ht="15" hidden="0" customHeight="1">
      <x:c r="A11" s="65" t="str">
        <x:v>Total de ingresos</x:v>
      </x:c>
      <x:c r="B11" s="65" t="str">
        <x:v>Suma de ingresos</x:v>
      </x:c>
      <x:c r="C11" s="65" t="str">
        <x:v>3,000 + 123 + 62.50 + 67.50</x:v>
      </x:c>
      <x:c r="D11" s="87" t="n">
        <x:f>'Casos'!F17</x:f>
        <x:v>3253</x:v>
      </x:c>
    </x:row>
    <x:row r="12" ht="15" hidden="0" customHeight="1">
      <x:c r="A12" s="65" t="str">
        <x:v>ONP</x:v>
      </x:c>
      <x:c r="B12" s="65" t="str">
        <x:v>Remuneración × 13%</x:v>
      </x:c>
      <x:c r="C12" s="65" t="str">
        <x:v>2,500 × 13%</x:v>
      </x:c>
      <x:c r="D12" s="87" t="n">
        <x:f>'Casos'!G15</x:f>
        <x:v>325</x:v>
      </x:c>
    </x:row>
    <x:row r="13" ht="15" hidden="0" customHeight="1">
      <x:c r="A13" s="65" t="str">
        <x:v>AFP</x:v>
      </x:c>
      <x:c r="B13" s="65" t="str">
        <x:v>Fondo + comisión + seguro</x:v>
      </x:c>
      <x:c r="C13" s="65" t="str">
        <x:v>325.30 + 52.05 + 43.92</x:v>
      </x:c>
      <x:c r="D13" s="87" t="n">
        <x:f>ROUND(SUM('Casos'!H17:J17),2)</x:f>
        <x:v>421.27</x:v>
      </x:c>
    </x:row>
    <x:row r="14" ht="15" hidden="0" customHeight="1">
      <x:c r="A14" s="65" t="str">
        <x:v>Total descuentos</x:v>
      </x:c>
      <x:c r="B14" s="65" t="str">
        <x:v>Pensión + adelanto</x:v>
      </x:c>
      <x:c r="C14" s="65" t="str">
        <x:v>421.27 + 200</x:v>
      </x:c>
      <x:c r="D14" s="87" t="n">
        <x:f>'Casos'!L17</x:f>
        <x:v>621.27</x:v>
      </x:c>
    </x:row>
    <x:row r="15" ht="15" hidden="0" customHeight="1">
      <x:c r="A15" s="65" t="str">
        <x:v>Neto a pagar</x:v>
      </x:c>
      <x:c r="B15" s="65" t="str">
        <x:v>Ingresos − descuentos</x:v>
      </x:c>
      <x:c r="C15" s="65" t="str">
        <x:v>3,253 − 621.27</x:v>
      </x:c>
      <x:c r="D15" s="87" t="n">
        <x:f>'Casos'!M17</x:f>
        <x:v>2631.73</x:v>
      </x:c>
    </x:row>
    <x:row r="16" ht="15" hidden="0" customHeight="1">
      <x:c r="A16" s="65" t="str">
        <x:v>EsSalud</x:v>
      </x:c>
      <x:c r="B16" s="65" t="str">
        <x:v>Remuneración × 9%</x:v>
      </x:c>
      <x:c r="C16" s="65" t="str">
        <x:v>3,253 × 9%</x:v>
      </x:c>
      <x:c r="D16" s="87" t="n">
        <x:f>'Casos'!N17</x:f>
        <x:v>292.77</x:v>
      </x:c>
    </x:row>
    <x:row r="17" ht="30" hidden="0" customHeight="1">
      <x:c r="A17" s="218" t="str">
        <x:v>Comisión AFP: se usa la tasa de la AFP elegida. Habitat 1.47%, Integra 1.55%, Prima 1.60% y Profuturo 1.69%. El 1.60% de AFP Guía se reserva para los casos académicos.</x:v>
      </x:c>
      <x:c r="B17" s="219"/>
      <x:c r="C17" s="219"/>
      <x:c r="D17" s="220"/>
    </x:row>
    <x:row r="18" ht="10" hidden="0" customHeight="1">
      <x:c r="A18" s="2"/>
      <x:c r="B18" s="2"/>
      <x:c r="C18" s="2"/>
      <x:c r="D18" s="2"/>
    </x:row>
    <x:row r="19" ht="25" hidden="0" customHeight="1">
      <x:c r="A19" s="177" t="str">
        <x:v>2. RESPUESTAS CLAVE EXPLICADAS</x:v>
      </x:c>
      <x:c r="B19" s="178"/>
      <x:c r="C19" s="178"/>
      <x:c r="D19" s="179"/>
    </x:row>
    <x:row r="20" ht="28" hidden="0" customHeight="1">
      <x:c r="A20" s="180" t="str">
        <x:v>Pregunta</x:v>
      </x:c>
      <x:c r="B20" s="180" t="str">
        <x:v>Cómo se comprueba</x:v>
      </x:c>
      <x:c r="C20" s="180" t="str">
        <x:v>Resultado principal</x:v>
      </x:c>
      <x:c r="D20" s="180" t="str">
        <x:v>Explicación sencilla</x:v>
      </x:c>
    </x:row>
    <x:row r="21" ht="58" hidden="0" customHeight="1">
      <x:c r="A21" s="172" t="str">
        <x:v>¿ONP o AFP deja mayor neto?</x:v>
      </x:c>
      <x:c r="B21" s="65" t="str">
        <x:v>Se usa el ingreso del Caso 3 y se calcula cuánto quedaría con ONP. Luego se compara con el neto obtenido con AFP.</x:v>
      </x:c>
      <x:c r="C21" s="189" t="n">
        <x:f>ROUND('Casos'!M17-ROUND('Casos'!F17-(ROUND('Casos'!F17*'Parámetros'!$B$8,2)+'Casos'!K17),2),2)</x:f>
        <x:v>1.62</x:v>
      </x:c>
      <x:c r="D21" s="187" t="str">
        <x:v>En el Caso 3, AFP deja S/ 1.62 más de neto que ONP. La diferencia es pequeña porque ambas retenciones son similares.</x:v>
      </x:c>
    </x:row>
    <x:row r="22" ht="58" hidden="0" customHeight="1">
      <x:c r="A22" s="172" t="str">
        <x:v>¿Cuál es el costo real para la empresa?</x:v>
      </x:c>
      <x:c r="B22" s="65" t="str">
        <x:v>Se suma la remuneración del trabajador y el aporte de EsSalud que paga la empresa.</x:v>
      </x:c>
      <x:c r="C22" s="189" t="n">
        <x:f>'Casos'!O17</x:f>
        <x:v>3545.77</x:v>
      </x:c>
      <x:c r="D22" s="188" t="str">
        <x:v>La empresa paga S/ 3,545.77 en total: S/ 3,253.00 de remuneración y S/ 292.77 de EsSalud. El trabajador recibe S/ 2,631.73 netos.</x:v>
      </x:c>
    </x:row>
    <x:row r="23" ht="58" hidden="0" customHeight="1">
      <x:c r="A23" s="172" t="str">
        <x:v>¿Qué ocurre si trabaja 30 días?</x:v>
      </x:c>
      <x:c r="B23" s="65" t="str">
        <x:v>Se compara el Caso 2, que tiene 27 días laborados, con el mismo sueldo calculado por 30 días.</x:v>
      </x:c>
      <x:c r="C23" s="189" t="n">
        <x:f>ROUND(ROUND((1800+'Parámetros'!$B$6*'Parámetros'!$B$7)*(1-'Parámetros'!$B$8),2)-'Casos'!M16,2)</x:f>
        <x:v>156.6</x:v>
      </x:c>
      <x:c r="D23" s="187" t="str">
        <x:v>Al pasar de 27 a 30 días, el neto aumenta S/ 156.60. El aumento corresponde a los tres días adicionales pagados.</x:v>
      </x:c>
    </x:row>
    <x:row r="24" ht="58" hidden="0" customHeight="1">
      <x:c r="A24" s="172" t="str">
        <x:v>¿Cuánto aportan las horas extras?</x:v>
      </x:c>
      <x:c r="B24" s="65" t="str">
        <x:v>Se suman los pagos de las 4 horas al 25% y las 4 horas al 35% del Caso 3.</x:v>
      </x:c>
      <x:c r="C24" s="189" t="n">
        <x:f>ROUND('Casos'!D17+'Casos'!E17,2)</x:f>
        <x:v>130</x:v>
      </x:c>
      <x:c r="D24" s="188" t="str">
        <x:v>Las 8 horas extras generan S/ 130.00 adicionales: S/ 62.50 por las horas al 25% y S/ 67.50 por las horas al 35%.</x:v>
      </x:c>
    </x:row>
    <x:row r="25" ht="58" hidden="0" customHeight="1">
      <x:c r="A25" s="172" t="str">
        <x:v>¿Los casos propios están sustentados?</x:v>
      </x:c>
      <x:c r="B25" s="65" t="str">
        <x:v>Se verifica que cada oferta registre puesto, empresa, sueldo, enlace y fecha de consulta.</x:v>
      </x:c>
      <x:c r="C25" s="190" t="str">
        <x:f>IF(COUNT('Casos'!D33:D34)=2,"Completo","Pendiente")</x:f>
        <x:v>Completo</x:v>
      </x:c>
      <x:c r="D25" s="65" t="str">
        <x:v>Sí. Los dos casos propios incluyen la información necesaria para comprobar el origen del sueldo utilizado.</x:v>
      </x:c>
    </x:row>
    <x:row r="26" ht="10" hidden="0" customHeight="1">
      <x:c r="A26" s="2"/>
      <x:c r="B26" s="2"/>
      <x:c r="C26" s="2"/>
      <x:c r="D26" s="2"/>
    </x:row>
    <x:row r="27" ht="10" hidden="0" customHeight="1">
      <x:c r="A27" s="2"/>
      <x:c r="B27" s="2"/>
      <x:c r="C27" s="2"/>
      <x:c r="D27" s="2"/>
    </x:row>
    <x:row r="28" ht="24" hidden="0" customHeight="1">
      <x:c r="A28" s="103" t="str">
        <x:v>3. CONCLUSIONES</x:v>
      </x:c>
      <x:c r="B28" s="104" t="str"/>
      <x:c r="C28" s="104" t="str"/>
      <x:c r="D28" s="106" t="str"/>
    </x:row>
    <x:row r="29" ht="34" hidden="0" customHeight="1">
      <x:c r="A29" s="65" t="str">
        <x:v>1</x:v>
      </x:c>
      <x:c r="B29" s="65" t="str">
        <x:v>El neto depende de los ingresos y del sistema de pensiones.</x:v>
      </x:c>
      <x:c r="C29" s="65" t="str"/>
      <x:c r="D29" s="65" t="str"/>
    </x:row>
    <x:row r="30" ht="34" hidden="0" customHeight="1">
      <x:c r="A30" s="65" t="str">
        <x:v>2</x:v>
      </x:c>
      <x:c r="B30" s="65" t="str">
        <x:v>EsSalud es un costo de la empresa y no un descuento al trabajador.</x:v>
      </x:c>
      <x:c r="C30" s="65" t="str"/>
      <x:c r="D30" s="65" t="str"/>
    </x:row>
    <x:row r="31" ht="34" hidden="0" customHeight="1">
      <x:c r="A31" s="65" t="str">
        <x:v>3</x:v>
      </x:c>
      <x:c r="B31" s="65" t="str">
        <x:v>Cada concepto se redondea a dos decimales para coincidir con la aplicación.</x:v>
      </x:c>
      <x:c r="C31" s="65" t="str"/>
      <x:c r="D31" s="65" t="str"/>
    </x:row>
    <x:row r="32" ht="15" hidden="0" customHeight="1">
      <x:c r="A32" s="2"/>
      <x:c r="B32" s="2"/>
      <x:c r="C32" s="2"/>
      <x:c r="D32" s="2"/>
    </x:row>
    <x:row r="33" ht="15" hidden="0" customHeight="1">
      <x:c r="A33" s="2"/>
      <x:c r="B33" s="2"/>
      <x:c r="C33" s="2"/>
      <x:c r="D33" s="2"/>
    </x:row>
    <x:row r="34" ht="15" hidden="0" customHeight="1">
      <x:c r="A34" s="2"/>
      <x:c r="B34" s="2"/>
      <x:c r="C34" s="2"/>
      <x:c r="D34" s="2"/>
    </x:row>
  </x:sheetData>
  <x:mergeCells>
    <x:mergeCell ref="A2:D2"/>
    <x:mergeCell ref="A4:D4"/>
    <x:mergeCell ref="A19:D19"/>
    <x:mergeCell ref="A28:D28"/>
    <x:mergeCell ref="A17:D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26B0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2" customHeight="1">
      <x:c r="A2" s="115" t="str">
        <x:v>Panel visual de resultados</x:v>
      </x:c>
      <x:c r="B2" s="115" t="str">
        <x:v>Panel visual de resultados</x:v>
      </x:c>
      <x:c r="C2" s="115" t="str">
        <x:v>Panel visual de resultados</x:v>
      </x:c>
      <x:c r="D2" s="115" t="str">
        <x:v>Panel visual de resultados</x:v>
      </x:c>
      <x:c r="E2" s="115" t="str">
        <x:v>Panel visual de resultados</x:v>
      </x:c>
      <x:c r="F2" s="115" t="str">
        <x:v>Panel visual de resultados</x:v>
      </x:c>
      <x:c r="G2" s="115" t="str">
        <x:v>Panel visual de resultados</x:v>
      </x:c>
      <x:c r="H2" s="115" t="str">
        <x:v>Panel visual de resultados</x:v>
      </x:c>
      <x:c r="I2" s="115" t="str">
        <x:v>Panel visual de resultados</x:v>
      </x:c>
      <x:c r="J2" s="115" t="str">
        <x:v>Panel visual de resultados</x:v>
      </x:c>
      <x:c r="K2" s="115" t="str">
        <x:v>Panel visual de resultados</x:v>
      </x:c>
      <x:c r="L2" s="115" t="str">
        <x:v>Panel visual de resultados</x:v>
      </x:c>
      <x:c r="M2" s="2"/>
      <x:c r="N2" s="2" t="str">
        <x:v>Caso</x:v>
      </x:c>
      <x:c r="O2" s="2" t="str">
        <x:v>Neto</x:v>
      </x:c>
      <x:c r="P2" s="2"/>
      <x:c r="Q2" s="2" t="str">
        <x:v>Concepto</x:v>
      </x:c>
      <x:c r="R2" s="2" t="str">
        <x:v>Monto</x:v>
      </x:c>
      <x:c r="S2" s="2"/>
      <x:c r="T2" s="2" t="str">
        <x:v>Caso</x:v>
      </x:c>
      <x:c r="U2" s="2" t="str">
        <x:v>% neto</x:v>
      </x:c>
    </x:row>
    <x:row r="3">
      <x:c r="A3" s="6" t="str">
        <x:v>Los gráficos se actualizan automáticamente con los seis casos de prueba.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2"/>
      <x:c r="N3" s="2" t="str">
        <x:v>Caso 1</x:v>
      </x:c>
      <x:c r="O3" s="2" t="n">
        <x:f>'Casos'!M15</x:f>
        <x:v>2175</x:v>
      </x:c>
      <x:c r="P3" s="2"/>
      <x:c r="Q3" s="2" t="str">
        <x:v>Neto del trabajador</x:v>
      </x:c>
      <x:c r="R3" s="2" t="n">
        <x:f>'Casos'!M17</x:f>
        <x:v>2631.73</x:v>
      </x:c>
      <x:c r="S3" s="2"/>
      <x:c r="T3" s="2" t="str">
        <x:v>Caso 1</x:v>
      </x:c>
      <x:c r="U3" s="2" t="n">
        <x:f>'Casos'!M15/'Casos'!F15</x:f>
        <x:v>0.87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 t="str">
        <x:v>Caso 2</x:v>
      </x:c>
      <x:c r="O4" s="2" t="n">
        <x:f>'Casos'!M16</x:f>
        <x:v>1516.41</x:v>
      </x:c>
      <x:c r="P4" s="2"/>
      <x:c r="Q4" s="2" t="str">
        <x:v>Descuentos</x:v>
      </x:c>
      <x:c r="R4" s="2" t="n">
        <x:f>'Casos'!L17</x:f>
        <x:v>621.27</x:v>
      </x:c>
      <x:c r="S4" s="2"/>
      <x:c r="T4" s="2" t="str">
        <x:v>Caso 2</x:v>
      </x:c>
      <x:c r="U4" s="2" t="n">
        <x:f>'Casos'!M16/'Casos'!F16</x:f>
        <x:v>0.87</x:v>
      </x:c>
    </x:row>
    <x:row r="5">
      <x:c r="A5" s="143" t="str">
        <x:v>MAYOR NETO</x:v>
      </x:c>
      <x:c r="B5" s="143"/>
      <x:c r="C5" s="143"/>
      <x:c r="D5" s="143"/>
      <x:c r="E5" s="143" t="str">
        <x:v>NETO PROMEDIO</x:v>
      </x:c>
      <x:c r="F5" s="143"/>
      <x:c r="G5" s="143"/>
      <x:c r="H5" s="143"/>
      <x:c r="I5" s="143" t="str">
        <x:v>DESCUENTO PROMEDIO</x:v>
      </x:c>
      <x:c r="J5" s="143"/>
      <x:c r="K5" s="143"/>
      <x:c r="L5" s="143"/>
      <x:c r="M5" s="2"/>
      <x:c r="N5" s="2" t="str">
        <x:v>Caso 3</x:v>
      </x:c>
      <x:c r="O5" s="2" t="n">
        <x:f>'Casos'!M17</x:f>
        <x:v>2631.73</x:v>
      </x:c>
      <x:c r="P5" s="2"/>
      <x:c r="Q5" s="2" t="str">
        <x:v>EsSalud</x:v>
      </x:c>
      <x:c r="R5" s="2" t="n">
        <x:f>'Casos'!N17</x:f>
        <x:v>292.77</x:v>
      </x:c>
      <x:c r="S5" s="2"/>
      <x:c r="T5" s="2" t="str">
        <x:v>Caso 3</x:v>
      </x:c>
      <x:c r="U5" s="2" t="n">
        <x:f>'Casos'!M17/'Casos'!F17</x:f>
        <x:v>0.8090162926529357</x:v>
      </x:c>
    </x:row>
    <x:row r="6">
      <x:c r="A6" s="147" t="n">
        <x:f>MAX('Casos'!M15:M20)</x:f>
        <x:v>3486.4</x:v>
      </x:c>
      <x:c r="B6" s="147"/>
      <x:c r="C6" s="147"/>
      <x:c r="D6" s="147"/>
      <x:c r="E6" s="147" t="n">
        <x:f>ROUND(AVERAGE('Casos'!M15:M20),2)</x:f>
        <x:v>2368.79</x:v>
      </x:c>
      <x:c r="F6" s="147"/>
      <x:c r="G6" s="147"/>
      <x:c r="H6" s="147"/>
      <x:c r="I6" s="147" t="n">
        <x:f>ROUND(AVERAGE('Casos'!L15:L20),2)</x:f>
        <x:v>409.55</x:v>
      </x:c>
      <x:c r="J6" s="147"/>
      <x:c r="K6" s="147"/>
      <x:c r="L6" s="147"/>
      <x:c r="M6" s="2"/>
      <x:c r="N6" s="2" t="str">
        <x:v>Caso 4</x:v>
      </x:c>
      <x:c r="O6" s="2" t="n">
        <x:f>'Casos'!M18</x:f>
        <x:v>3011.17</x:v>
      </x:c>
      <x:c r="P6" s="2"/>
      <x:c r="Q6" s="2"/>
      <x:c r="R6" s="2"/>
      <x:c r="S6" s="2"/>
      <x:c r="T6" s="2" t="str">
        <x:v>Caso 4</x:v>
      </x:c>
      <x:c r="U6" s="2" t="n">
        <x:f>'Casos'!M18/'Casos'!F18</x:f>
        <x:v>0.8425209848908786</x:v>
      </x:c>
    </x:row>
    <x:row r="7">
      <x:c r="A7" s="147"/>
      <x:c r="B7" s="147"/>
      <x:c r="C7" s="147"/>
      <x:c r="D7" s="147"/>
      <x:c r="E7" s="147"/>
      <x:c r="F7" s="147"/>
      <x:c r="G7" s="147"/>
      <x:c r="H7" s="147"/>
      <x:c r="I7" s="147"/>
      <x:c r="J7" s="147"/>
      <x:c r="K7" s="147"/>
      <x:c r="L7" s="147"/>
      <x:c r="M7" s="2"/>
      <x:c r="N7" s="2" t="str">
        <x:v>Propio 1</x:v>
      </x:c>
      <x:c r="O7" s="2" t="n">
        <x:f>'Casos'!M19</x:f>
        <x:v>1392</x:v>
      </x:c>
      <x:c r="P7" s="2"/>
      <x:c r="Q7" s="2"/>
      <x:c r="R7" s="2"/>
      <x:c r="S7" s="2"/>
      <x:c r="T7" s="2" t="str">
        <x:v>Propio 1</x:v>
      </x:c>
      <x:c r="U7" s="2" t="n">
        <x:f>'Casos'!M19/'Casos'!F19</x:f>
        <x:v>0.87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 t="str">
        <x:v>Propio 2</x:v>
      </x:c>
      <x:c r="O8" s="2" t="n">
        <x:f>'Casos'!M20</x:f>
        <x:v>3486.4</x:v>
      </x:c>
      <x:c r="P8" s="2"/>
      <x:c r="Q8" s="2"/>
      <x:c r="R8" s="2"/>
      <x:c r="S8" s="2"/>
      <x:c r="T8" s="2" t="str">
        <x:v>Propio 2</x:v>
      </x:c>
      <x:c r="U8" s="2" t="n">
        <x:f>'Casos'!M20/'Casos'!F20</x:f>
        <x:v>0.8716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4" customHeight="1">
      <x:c r="A41" s="119" t="str">
        <x:v>LECTURA DE LOS GRÁFICOS</x:v>
      </x:c>
      <x:c r="B41" s="120" t="str">
        <x:v>LECTURA DE LOS GRÁFICOS</x:v>
      </x:c>
      <x:c r="C41" s="120" t="str">
        <x:v>LECTURA DE LOS GRÁFICOS</x:v>
      </x:c>
      <x:c r="D41" s="120" t="str">
        <x:v>LECTURA DE LOS GRÁFICOS</x:v>
      </x:c>
      <x:c r="E41" s="120" t="str">
        <x:v>LECTURA DE LOS GRÁFICOS</x:v>
      </x:c>
      <x:c r="F41" s="120" t="str">
        <x:v>LECTURA DE LOS GRÁFICOS</x:v>
      </x:c>
      <x:c r="G41" s="120" t="str">
        <x:v>LECTURA DE LOS GRÁFICOS</x:v>
      </x:c>
      <x:c r="H41" s="120" t="str">
        <x:v>LECTURA DE LOS GRÁFICOS</x:v>
      </x:c>
      <x:c r="I41" s="120" t="str">
        <x:v>LECTURA DE LOS GRÁFICOS</x:v>
      </x:c>
      <x:c r="J41" s="120" t="str">
        <x:v>LECTURA DE LOS GRÁFICOS</x:v>
      </x:c>
      <x:c r="K41" s="120" t="str">
        <x:v>LECTURA DE LOS GRÁFICOS</x:v>
      </x:c>
      <x:c r="L41" s="121" t="str">
        <x:v>LECTURA DE LOS GRÁFICOS</x:v>
      </x:c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142" t="str">
        <x:v>Barras: compara los pagos netos. Pastel: divide el costo del caso 3. Línea: compara el porcentaje recibido.</x:v>
      </x:c>
      <x:c r="B42" s="142"/>
      <x:c r="C42" s="142"/>
      <x:c r="D42" s="142"/>
      <x:c r="E42" s="142"/>
      <x:c r="F42" s="142"/>
      <x:c r="G42" s="142"/>
      <x:c r="H42" s="142"/>
      <x:c r="I42" s="142"/>
      <x:c r="J42" s="142"/>
      <x:c r="K42" s="142"/>
      <x:c r="L42" s="14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</x:sheetData>
  <x:mergeCells>
    <x:mergeCell ref="A2:L2"/>
    <x:mergeCell ref="A3:L3"/>
    <x:mergeCell ref="A5:D5"/>
    <x:mergeCell ref="E5:H5"/>
    <x:mergeCell ref="I5:L5"/>
    <x:mergeCell ref="A6:D7"/>
    <x:mergeCell ref="E6:H7"/>
    <x:mergeCell ref="I6:L7"/>
    <x:mergeCell ref="A41:L41"/>
    <x:mergeCell ref="A42:L42"/>
  </x:mergeCells>
  <x:pageMargins left="0.7" right="0.7" top="0.75" bottom="0.75" header="0.3" footer="0.3"/>
  <x:drawing xmlns:r="http://schemas.openxmlformats.org/officeDocument/2006/relationships" r:id="R5948598325a64cf0"/>
</x:worksheet>
</file>